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tables/table8.xml" ContentType="application/vnd.openxmlformats-officedocument.spreadsheetml.table+xml"/>
  <Override PartName="/xl/comments3.xml" ContentType="application/vnd.openxmlformats-officedocument.spreadsheetml.comments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tables/table10.xml" ContentType="application/vnd.openxmlformats-officedocument.spreadsheetml.table+xml"/>
  <Override PartName="/xl/comments5.xml" ContentType="application/vnd.openxmlformats-officedocument.spreadsheetml.comments+xml"/>
  <Override PartName="/xl/tables/table11.xml" ContentType="application/vnd.openxmlformats-officedocument.spreadsheetml.table+xml"/>
  <Override PartName="/xl/comments6.xml" ContentType="application/vnd.openxmlformats-officedocument.spreadsheetml.comments+xml"/>
  <Override PartName="/xl/tables/table12.xml" ContentType="application/vnd.openxmlformats-officedocument.spreadsheetml.table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\\servidor-02\Astecnica\Meus documentos\MERCADO CENTRAL\CONTRATOS E MEDIÇÕES\"/>
    </mc:Choice>
  </mc:AlternateContent>
  <xr:revisionPtr revIDLastSave="0" documentId="13_ncr:1_{1417ECF5-9561-4460-8E6C-C50511FEF15B}" xr6:coauthVersionLast="47" xr6:coauthVersionMax="47" xr10:uidLastSave="{00000000-0000-0000-0000-000000000000}"/>
  <bookViews>
    <workbookView xWindow="-120" yWindow="-120" windowWidth="29040" windowHeight="15720" firstSheet="11" activeTab="12" xr2:uid="{00000000-000D-0000-FFFF-FFFF00000000}"/>
  </bookViews>
  <sheets>
    <sheet name="Consolidada" sheetId="9" r:id="rId1"/>
    <sheet name="Plan1" sheetId="1" r:id="rId2"/>
    <sheet name="Plan2" sheetId="2" r:id="rId3"/>
    <sheet name="2017" sheetId="3" r:id="rId4"/>
    <sheet name="2018" sheetId="4" r:id="rId5"/>
    <sheet name="2019" sheetId="5" r:id="rId6"/>
    <sheet name="2020" sheetId="6" r:id="rId7"/>
    <sheet name="2021" sheetId="7" r:id="rId8"/>
    <sheet name="2022" sheetId="8" r:id="rId9"/>
    <sheet name="2023" sheetId="11" r:id="rId10"/>
    <sheet name="2024" sheetId="12" r:id="rId11"/>
    <sheet name="2025" sheetId="13" r:id="rId12"/>
    <sheet name="2026" sheetId="14" r:id="rId13"/>
  </sheets>
  <definedNames>
    <definedName name="_xlnm._FilterDatabase" localSheetId="3" hidden="1">'2017'!$A$3:$J$34</definedName>
    <definedName name="_xlnm._FilterDatabase" localSheetId="4" hidden="1">'2018'!$A$3:$J$38</definedName>
    <definedName name="_xlnm._FilterDatabase" localSheetId="5" hidden="1">'2019'!$A$3:$L$61</definedName>
    <definedName name="_xlnm._FilterDatabase" localSheetId="6" hidden="1">'2020'!$A$3:$L$56</definedName>
    <definedName name="_xlnm._FilterDatabase" localSheetId="7" hidden="1">'2021'!$B$2:$M$56</definedName>
    <definedName name="_xlnm._FilterDatabase" localSheetId="8" hidden="1">'2022'!$B$2:$M$56</definedName>
    <definedName name="_xlnm._FilterDatabase" localSheetId="9" hidden="1">'2023'!$B$2:$M$60</definedName>
    <definedName name="_xlnm._FilterDatabase" localSheetId="10" hidden="1">'2024'!$B$2:$M$40</definedName>
    <definedName name="_xlnm._FilterDatabase" localSheetId="11" hidden="1">'2025'!$B$2:$M$41</definedName>
    <definedName name="_xlnm._FilterDatabase" localSheetId="12" hidden="1">'2026'!$B$2:$M$37</definedName>
    <definedName name="_xlnm._FilterDatabase" localSheetId="2" hidden="1">Plan2!$A$3:$J$37</definedName>
    <definedName name="_xlcn.WorksheetConnection_ControledeRelaçãodecontratos.xlsxTabela1451" hidden="1">Tabela145[]</definedName>
  </definedNames>
  <calcPr calcId="191029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145-4c0835b9-c297-4aad-a9b7-388ed95c57ea" name="Tabela145" connection="WorksheetConnection_Controle de Relação de contratos.xlsx!Tabela14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7" i="14" l="1"/>
  <c r="AB37" i="14"/>
  <c r="Z37" i="14"/>
  <c r="R37" i="14" l="1"/>
  <c r="P37" i="14"/>
  <c r="P38" i="14" s="1"/>
  <c r="AH38" i="14"/>
  <c r="AB38" i="14"/>
  <c r="Z38" i="14"/>
  <c r="X38" i="14"/>
  <c r="V38" i="14"/>
  <c r="T38" i="14"/>
  <c r="R38" i="14"/>
  <c r="N14" i="14"/>
  <c r="N13" i="14"/>
  <c r="N11" i="14"/>
  <c r="N10" i="14"/>
  <c r="N8" i="14"/>
  <c r="N7" i="14"/>
  <c r="AL36" i="13"/>
  <c r="AJ36" i="13"/>
  <c r="I36" i="13"/>
  <c r="AF36" i="13"/>
  <c r="AD38" i="14" l="1"/>
  <c r="AJ38" i="14"/>
  <c r="AF38" i="14"/>
  <c r="AL38" i="14"/>
  <c r="AD36" i="13"/>
  <c r="Z37" i="13" l="1"/>
  <c r="AB37" i="13"/>
  <c r="AL41" i="13"/>
  <c r="AJ41" i="13"/>
  <c r="AH41" i="13"/>
  <c r="AF41" i="13"/>
  <c r="AD41" i="13"/>
  <c r="AB41" i="13"/>
  <c r="Z41" i="13"/>
  <c r="X41" i="13"/>
  <c r="V41" i="13"/>
  <c r="T41" i="13"/>
  <c r="R41" i="13"/>
  <c r="P41" i="13"/>
  <c r="AL37" i="13"/>
  <c r="AJ37" i="13"/>
  <c r="AJ42" i="13" s="1"/>
  <c r="AF37" i="13"/>
  <c r="N14" i="13"/>
  <c r="N13" i="13"/>
  <c r="N11" i="13"/>
  <c r="N10" i="13"/>
  <c r="N8" i="13"/>
  <c r="N7" i="13"/>
  <c r="AD37" i="13"/>
  <c r="X37" i="13"/>
  <c r="Z42" i="13" l="1"/>
  <c r="AF42" i="13"/>
  <c r="AL42" i="13"/>
  <c r="X42" i="13"/>
  <c r="AB42" i="13"/>
  <c r="AD42" i="13"/>
  <c r="T37" i="13"/>
  <c r="T42" i="13" s="1"/>
  <c r="V37" i="13"/>
  <c r="V42" i="13" s="1"/>
  <c r="P37" i="13"/>
  <c r="R37" i="13"/>
  <c r="R42" i="13" s="1"/>
  <c r="AH37" i="13"/>
  <c r="AH42" i="13" s="1"/>
  <c r="AH5" i="12"/>
  <c r="AM37" i="13" l="1"/>
  <c r="P42" i="13"/>
  <c r="AF5" i="12"/>
  <c r="AD32" i="12" l="1"/>
  <c r="AD5" i="12" l="1"/>
  <c r="AB32" i="12" l="1"/>
  <c r="AB5" i="12" l="1"/>
  <c r="Z32" i="12" l="1"/>
  <c r="Z5" i="12" l="1"/>
  <c r="X19" i="12" l="1"/>
  <c r="Z35" i="12" l="1"/>
  <c r="AB35" i="12"/>
  <c r="AD35" i="12"/>
  <c r="AF35" i="12"/>
  <c r="AH35" i="12"/>
  <c r="AJ35" i="12"/>
  <c r="AL35" i="12"/>
  <c r="X5" i="12" l="1"/>
  <c r="X35" i="12" s="1"/>
  <c r="V19" i="12" l="1"/>
  <c r="V5" i="12" l="1"/>
  <c r="V35" i="12" s="1"/>
  <c r="T19" i="12" l="1"/>
  <c r="P40" i="12" l="1"/>
  <c r="T5" i="12"/>
  <c r="T35" i="12" s="1"/>
  <c r="R19" i="12" l="1"/>
  <c r="R5" i="12" l="1"/>
  <c r="R35" i="12" s="1"/>
  <c r="P19" i="12" l="1"/>
  <c r="P5" i="12" l="1"/>
  <c r="P35" i="12" s="1"/>
  <c r="AL40" i="12" l="1"/>
  <c r="AJ40" i="12"/>
  <c r="AH40" i="12"/>
  <c r="AF40" i="12"/>
  <c r="AD40" i="12"/>
  <c r="AB40" i="12"/>
  <c r="X40" i="12"/>
  <c r="V40" i="12"/>
  <c r="T40" i="12"/>
  <c r="R40" i="12"/>
  <c r="Z40" i="12"/>
  <c r="AF41" i="12"/>
  <c r="P41" i="12"/>
  <c r="N14" i="12"/>
  <c r="N13" i="12"/>
  <c r="N11" i="12"/>
  <c r="N10" i="12"/>
  <c r="N8" i="12"/>
  <c r="N7" i="12"/>
  <c r="AJ41" i="12" l="1"/>
  <c r="T41" i="12"/>
  <c r="V41" i="12"/>
  <c r="Z41" i="12"/>
  <c r="X41" i="12"/>
  <c r="AL41" i="12"/>
  <c r="AB41" i="12"/>
  <c r="AD41" i="12"/>
  <c r="R41" i="12"/>
  <c r="AH41" i="12"/>
  <c r="AL19" i="11"/>
  <c r="AL5" i="11" l="1"/>
  <c r="N14" i="11" l="1"/>
  <c r="N13" i="11"/>
  <c r="N11" i="11"/>
  <c r="N10" i="11"/>
  <c r="N8" i="11"/>
  <c r="N7" i="11"/>
  <c r="AJ19" i="11" l="1"/>
  <c r="AF5" i="11" l="1"/>
  <c r="AH5" i="11"/>
  <c r="AJ5" i="11"/>
  <c r="AH19" i="11" l="1"/>
  <c r="AF19" i="11" l="1"/>
  <c r="AD19" i="11" l="1"/>
  <c r="AD5" i="11" l="1"/>
  <c r="AB29" i="11" l="1"/>
  <c r="AB19" i="11" l="1"/>
  <c r="AB5" i="11" l="1"/>
  <c r="Z29" i="11" l="1"/>
  <c r="Z19" i="11" l="1"/>
  <c r="Z5" i="11" l="1"/>
  <c r="Z58" i="11" l="1"/>
  <c r="X29" i="11" l="1"/>
  <c r="X19" i="11" l="1"/>
  <c r="X5" i="11" l="1"/>
  <c r="V29" i="11" l="1"/>
  <c r="V19" i="11" l="1"/>
  <c r="V5" i="11" l="1"/>
  <c r="T19" i="11" l="1"/>
  <c r="T5" i="11" l="1"/>
  <c r="R19" i="11" l="1"/>
  <c r="R5" i="11" l="1"/>
  <c r="P29" i="11" l="1"/>
  <c r="AL60" i="11" l="1"/>
  <c r="AJ60" i="11"/>
  <c r="AH60" i="11"/>
  <c r="AF60" i="11"/>
  <c r="AD60" i="11"/>
  <c r="AB60" i="11"/>
  <c r="Z60" i="11"/>
  <c r="X60" i="11"/>
  <c r="V60" i="11"/>
  <c r="T60" i="11"/>
  <c r="R60" i="11"/>
  <c r="P60" i="11"/>
  <c r="P19" i="11" l="1"/>
  <c r="P5" i="11" l="1"/>
  <c r="AL49" i="11" l="1"/>
  <c r="AJ49" i="11"/>
  <c r="AJ61" i="11" s="1"/>
  <c r="AH49" i="11"/>
  <c r="AH61" i="11" s="1"/>
  <c r="T49" i="11"/>
  <c r="R49" i="11"/>
  <c r="R61" i="11" s="1"/>
  <c r="P49" i="11"/>
  <c r="AF49" i="11"/>
  <c r="AF61" i="11" s="1"/>
  <c r="AD49" i="11"/>
  <c r="AD61" i="11" s="1"/>
  <c r="X49" i="11"/>
  <c r="AL61" i="11" l="1"/>
  <c r="T61" i="11"/>
  <c r="V49" i="11"/>
  <c r="V61" i="11" s="1"/>
  <c r="X61" i="11"/>
  <c r="P61" i="11"/>
  <c r="Z49" i="11"/>
  <c r="Z61" i="11" s="1"/>
  <c r="AB49" i="11"/>
  <c r="AB61" i="11" s="1"/>
  <c r="AK22" i="8"/>
  <c r="AK5" i="8" l="1"/>
  <c r="AI22" i="8" l="1"/>
  <c r="AI5" i="8" l="1"/>
  <c r="AG20" i="8" l="1"/>
  <c r="AG22" i="8" l="1"/>
  <c r="AG5" i="8" l="1"/>
  <c r="AE22" i="8" l="1"/>
  <c r="AE5" i="8" l="1"/>
  <c r="AE9" i="8" l="1"/>
  <c r="AC31" i="8" l="1"/>
  <c r="AC22" i="8" l="1"/>
  <c r="AC5" i="8" l="1"/>
  <c r="AC56" i="8" l="1"/>
  <c r="AK49" i="8"/>
  <c r="AI49" i="8"/>
  <c r="AG49" i="8"/>
  <c r="AE49" i="8"/>
  <c r="AC49" i="8"/>
  <c r="AC57" i="8" l="1"/>
  <c r="AA22" i="8"/>
  <c r="AA49" i="8" s="1"/>
  <c r="AA55" i="8" l="1"/>
  <c r="W55" i="8" l="1"/>
  <c r="Y22" i="8" l="1"/>
  <c r="Y5" i="8" l="1"/>
  <c r="Y49" i="8" s="1"/>
  <c r="W22" i="8" l="1"/>
  <c r="S56" i="8" l="1"/>
  <c r="W56" i="8"/>
  <c r="Y56" i="8"/>
  <c r="Y57" i="8" s="1"/>
  <c r="AA56" i="8"/>
  <c r="AA57" i="8" s="1"/>
  <c r="AE56" i="8"/>
  <c r="AG56" i="8"/>
  <c r="AI56" i="8"/>
  <c r="AK56" i="8"/>
  <c r="Q56" i="8"/>
  <c r="U55" i="8"/>
  <c r="U56" i="8" s="1"/>
  <c r="W5" i="8" l="1"/>
  <c r="W49" i="8" l="1"/>
  <c r="W57" i="8"/>
  <c r="U22" i="8"/>
  <c r="U5" i="8" l="1"/>
  <c r="U49" i="8" l="1"/>
  <c r="U57" i="8" s="1"/>
  <c r="S22" i="8"/>
  <c r="S49" i="8" s="1"/>
  <c r="Q22" i="8" l="1"/>
  <c r="Q49" i="8" s="1"/>
  <c r="AK25" i="7" l="1"/>
  <c r="O22" i="8"/>
  <c r="O49" i="8" s="1"/>
  <c r="O56" i="8" l="1"/>
  <c r="AK57" i="8"/>
  <c r="Q57" i="8"/>
  <c r="O57" i="8"/>
  <c r="AG57" i="8" l="1"/>
  <c r="AE57" i="8"/>
  <c r="S57" i="8"/>
  <c r="AI57" i="8"/>
  <c r="AI25" i="7"/>
  <c r="AG25" i="7" l="1"/>
  <c r="AE25" i="7" l="1"/>
  <c r="AE12" i="7" l="1"/>
  <c r="AC25" i="7" l="1"/>
  <c r="AK50" i="7" l="1"/>
  <c r="AI50" i="7"/>
  <c r="AG50" i="7"/>
  <c r="AE50" i="7"/>
  <c r="AC50" i="7"/>
  <c r="AA25" i="7" l="1"/>
  <c r="AA50" i="7" s="1"/>
  <c r="Y25" i="7" l="1"/>
  <c r="Y50" i="7" s="1"/>
  <c r="W53" i="7" l="1"/>
  <c r="W25" i="7" l="1"/>
  <c r="W50" i="7" s="1"/>
  <c r="U25" i="7" l="1"/>
  <c r="U50" i="7" s="1"/>
  <c r="U53" i="7" l="1"/>
  <c r="S25" i="7" l="1"/>
  <c r="S50" i="7" s="1"/>
  <c r="Q25" i="7" l="1"/>
  <c r="Q50" i="7" s="1"/>
  <c r="O25" i="7" l="1"/>
  <c r="O50" i="7" l="1"/>
  <c r="AM58" i="6"/>
  <c r="AL58" i="6"/>
  <c r="O56" i="7" l="1"/>
  <c r="O57" i="7" s="1"/>
  <c r="AE56" i="7"/>
  <c r="AK56" i="7" l="1"/>
  <c r="AI56" i="7"/>
  <c r="AG56" i="7"/>
  <c r="AC56" i="7"/>
  <c r="AA56" i="7"/>
  <c r="Y56" i="7"/>
  <c r="W56" i="7"/>
  <c r="U56" i="7"/>
  <c r="S56" i="7"/>
  <c r="Q56" i="7"/>
  <c r="AE57" i="7"/>
  <c r="AA57" i="7" l="1"/>
  <c r="AC57" i="7"/>
  <c r="AK57" i="7"/>
  <c r="Y57" i="7"/>
  <c r="AG57" i="7"/>
  <c r="Q57" i="7"/>
  <c r="S57" i="7"/>
  <c r="AI57" i="7"/>
  <c r="U57" i="7"/>
  <c r="W57" i="7"/>
  <c r="AH36" i="6"/>
  <c r="AF36" i="6" l="1"/>
  <c r="AD36" i="6" l="1"/>
  <c r="AB36" i="6" l="1"/>
  <c r="Z36" i="6" l="1"/>
  <c r="X32" i="6" l="1"/>
  <c r="X36" i="6" l="1"/>
  <c r="V36" i="6" l="1"/>
  <c r="V14" i="6" l="1"/>
  <c r="T36" i="6" l="1"/>
  <c r="T14" i="6" l="1"/>
  <c r="R14" i="6" l="1"/>
  <c r="R36" i="6" l="1"/>
  <c r="P36" i="6" l="1"/>
  <c r="N14" i="6" l="1"/>
  <c r="N36" i="6" l="1"/>
  <c r="AJ56" i="6" l="1"/>
  <c r="AF56" i="6"/>
  <c r="T56" i="6"/>
  <c r="P56" i="6"/>
  <c r="N56" i="6"/>
  <c r="AH56" i="6"/>
  <c r="Z56" i="6"/>
  <c r="AB56" i="6"/>
  <c r="AD56" i="6"/>
  <c r="X56" i="6"/>
  <c r="V56" i="6"/>
  <c r="R56" i="6"/>
  <c r="Z47" i="6"/>
  <c r="P47" i="6"/>
  <c r="R47" i="6"/>
  <c r="N47" i="6"/>
  <c r="AD47" i="6"/>
  <c r="X47" i="6"/>
  <c r="V47" i="6"/>
  <c r="N57" i="6" l="1"/>
  <c r="Z57" i="6"/>
  <c r="P57" i="6"/>
  <c r="V57" i="6"/>
  <c r="R57" i="6"/>
  <c r="AD57" i="6"/>
  <c r="X57" i="6"/>
  <c r="AB47" i="6"/>
  <c r="AB57" i="6" s="1"/>
  <c r="AF47" i="6"/>
  <c r="AF57" i="6" s="1"/>
  <c r="AH47" i="6"/>
  <c r="AH57" i="6" s="1"/>
  <c r="T47" i="6"/>
  <c r="T57" i="6" s="1"/>
  <c r="AJ47" i="6"/>
  <c r="AJ57" i="6" s="1"/>
  <c r="AJ14" i="5"/>
  <c r="AJ33" i="5"/>
  <c r="AH14" i="5" l="1"/>
  <c r="AH56" i="5" l="1"/>
  <c r="AH49" i="5" l="1"/>
  <c r="AH33" i="5" l="1"/>
  <c r="AF14" i="5" l="1"/>
  <c r="Z61" i="5" l="1"/>
  <c r="AF33" i="5" l="1"/>
  <c r="AF17" i="5" l="1"/>
  <c r="AD47" i="5" l="1"/>
  <c r="AD14" i="5" l="1"/>
  <c r="AJ61" i="5" l="1"/>
  <c r="AH61" i="5"/>
  <c r="AF61" i="5"/>
  <c r="AD61" i="5"/>
  <c r="T61" i="5"/>
  <c r="P61" i="5"/>
  <c r="N61" i="5"/>
  <c r="AJ44" i="5"/>
  <c r="AH44" i="5"/>
  <c r="AF44" i="5"/>
  <c r="P44" i="5"/>
  <c r="P62" i="5" l="1"/>
  <c r="AD33" i="5" l="1"/>
  <c r="AD44" i="5" s="1"/>
  <c r="AB52" i="5" l="1"/>
  <c r="AB55" i="5" l="1"/>
  <c r="AB61" i="5" s="1"/>
  <c r="AB14" i="5" l="1"/>
  <c r="AB33" i="5" l="1"/>
  <c r="AB44" i="5" s="1"/>
  <c r="Z33" i="5" l="1"/>
  <c r="Z55" i="5"/>
  <c r="Z14" i="5" l="1"/>
  <c r="Z44" i="5" s="1"/>
  <c r="X47" i="5" l="1"/>
  <c r="X61" i="5" s="1"/>
  <c r="V47" i="5"/>
  <c r="V61" i="5" s="1"/>
  <c r="X14" i="5" l="1"/>
  <c r="X33" i="5" l="1"/>
  <c r="X44" i="5" s="1"/>
  <c r="X62" i="5" s="1"/>
  <c r="H14" i="5" l="1"/>
  <c r="V33" i="5" l="1"/>
  <c r="V14" i="5" l="1"/>
  <c r="V44" i="5" l="1"/>
  <c r="V62" i="5" s="1"/>
  <c r="T14" i="5"/>
  <c r="T33" i="5" l="1"/>
  <c r="T44" i="5" s="1"/>
  <c r="T62" i="5" l="1"/>
  <c r="R46" i="5"/>
  <c r="R61" i="5" s="1"/>
  <c r="R14" i="5" l="1"/>
  <c r="R33" i="5" l="1"/>
  <c r="R44" i="5" s="1"/>
  <c r="R62" i="5" l="1"/>
  <c r="N14" i="5"/>
  <c r="N33" i="5" l="1"/>
  <c r="N44" i="5" s="1"/>
  <c r="N62" i="5" s="1"/>
  <c r="AD62" i="5" l="1"/>
  <c r="AB62" i="5"/>
  <c r="Z62" i="5"/>
  <c r="AJ62" i="5"/>
  <c r="AH62" i="5"/>
  <c r="AF62" i="5"/>
  <c r="N39" i="4" l="1"/>
  <c r="AH26" i="4"/>
  <c r="AH14" i="4" l="1"/>
  <c r="AF14" i="4" l="1"/>
  <c r="AF26" i="4" l="1"/>
  <c r="AH39" i="4" l="1"/>
  <c r="AF39" i="4"/>
  <c r="V39" i="4"/>
  <c r="T39" i="4"/>
  <c r="R39" i="4"/>
  <c r="L39" i="4"/>
  <c r="AD26" i="4"/>
  <c r="AB26" i="4"/>
  <c r="AB39" i="4" s="1"/>
  <c r="Z26" i="4"/>
  <c r="X26" i="4"/>
  <c r="X39" i="4" s="1"/>
  <c r="AD22" i="4"/>
  <c r="AD14" i="4"/>
  <c r="Z14" i="4"/>
  <c r="AD39" i="4" l="1"/>
  <c r="Z39" i="4"/>
  <c r="L20" i="3"/>
  <c r="L35" i="3" s="1"/>
  <c r="G14" i="1" l="1"/>
  <c r="G9" i="1"/>
  <c r="P3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Astecnica</author>
  </authors>
  <commentList>
    <comment ref="T20" authorId="0" shapeId="0" xr:uid="{00000000-0006-0000-0600-000001000000}">
      <text>
        <r>
          <rPr>
            <b/>
            <sz val="9"/>
            <color indexed="81"/>
            <rFont val="Segoe UI"/>
            <family val="2"/>
          </rPr>
          <t>Astecnica:</t>
        </r>
        <r>
          <rPr>
            <sz val="9"/>
            <color indexed="81"/>
            <rFont val="Segoe UI"/>
            <family val="2"/>
          </rPr>
          <t xml:space="preserve">
Com taxa de ART</t>
        </r>
      </text>
    </comment>
    <comment ref="T29" authorId="0" shapeId="0" xr:uid="{00000000-0006-0000-0600-000002000000}">
      <text>
        <r>
          <rPr>
            <b/>
            <sz val="9"/>
            <color indexed="81"/>
            <rFont val="Segoe UI"/>
            <family val="2"/>
          </rPr>
          <t>Astecnica:</t>
        </r>
        <r>
          <rPr>
            <sz val="9"/>
            <color indexed="81"/>
            <rFont val="Segoe UI"/>
            <family val="2"/>
          </rPr>
          <t xml:space="preserve">
Modificação do ponto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Astecnica</author>
  </authors>
  <commentList>
    <comment ref="AE12" authorId="0" shapeId="0" xr:uid="{00000000-0006-0000-0700-000001000000}">
      <text>
        <r>
          <rPr>
            <b/>
            <sz val="9"/>
            <color indexed="81"/>
            <rFont val="Segoe UI"/>
            <family val="2"/>
          </rPr>
          <t>Astecnica:</t>
        </r>
        <r>
          <rPr>
            <sz val="9"/>
            <color indexed="81"/>
            <rFont val="Segoe UI"/>
            <family val="2"/>
          </rPr>
          <t xml:space="preserve">
Com ART</t>
        </r>
      </text>
    </comment>
    <comment ref="O53" authorId="0" shapeId="0" xr:uid="{00000000-0006-0000-0700-000002000000}">
      <text>
        <r>
          <rPr>
            <b/>
            <sz val="9"/>
            <color indexed="81"/>
            <rFont val="Segoe UI"/>
            <family val="2"/>
          </rPr>
          <t>Astecnica:</t>
        </r>
        <r>
          <rPr>
            <sz val="9"/>
            <color indexed="81"/>
            <rFont val="Segoe UI"/>
            <family val="2"/>
          </rPr>
          <t xml:space="preserve">
2ª</t>
        </r>
      </text>
    </comment>
    <comment ref="Y53" authorId="0" shapeId="0" xr:uid="{00000000-0006-0000-0700-000003000000}">
      <text>
        <r>
          <rPr>
            <b/>
            <sz val="9"/>
            <color indexed="81"/>
            <rFont val="Segoe UI"/>
            <family val="2"/>
          </rPr>
          <t>Astecnica:</t>
        </r>
        <r>
          <rPr>
            <sz val="9"/>
            <color indexed="81"/>
            <rFont val="Segoe UI"/>
            <family val="2"/>
          </rPr>
          <t xml:space="preserve">
2ª parcela</t>
        </r>
      </text>
    </comment>
    <comment ref="Q55" authorId="0" shapeId="0" xr:uid="{00000000-0006-0000-0700-000004000000}">
      <text>
        <r>
          <rPr>
            <b/>
            <sz val="9"/>
            <color indexed="81"/>
            <rFont val="Segoe UI"/>
            <family val="2"/>
          </rPr>
          <t>Astecnica:</t>
        </r>
        <r>
          <rPr>
            <sz val="9"/>
            <color indexed="81"/>
            <rFont val="Segoe UI"/>
            <family val="2"/>
          </rPr>
          <t xml:space="preserve">
7ª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Astecnica</author>
  </authors>
  <commentList>
    <comment ref="AK3" authorId="0" shapeId="0" xr:uid="{00000000-0006-0000-0800-000001000000}">
      <text>
        <r>
          <rPr>
            <b/>
            <sz val="9"/>
            <color indexed="81"/>
            <rFont val="Segoe UI"/>
            <family val="2"/>
          </rPr>
          <t>Astecnica:</t>
        </r>
        <r>
          <rPr>
            <sz val="9"/>
            <color indexed="81"/>
            <rFont val="Segoe UI"/>
            <family val="2"/>
          </rPr>
          <t xml:space="preserve">
Será pago em janeiro</t>
        </r>
      </text>
    </comment>
    <comment ref="AC9" authorId="0" shapeId="0" xr:uid="{00000000-0006-0000-0800-000002000000}">
      <text>
        <r>
          <rPr>
            <b/>
            <sz val="9"/>
            <color indexed="81"/>
            <rFont val="Segoe UI"/>
            <family val="2"/>
          </rPr>
          <t>Astecnica:</t>
        </r>
        <r>
          <rPr>
            <sz val="9"/>
            <color indexed="81"/>
            <rFont val="Segoe UI"/>
            <family val="2"/>
          </rPr>
          <t xml:space="preserve">
Reajuste anual
</t>
        </r>
      </text>
    </comment>
    <comment ref="AE9" authorId="0" shapeId="0" xr:uid="{00000000-0006-0000-0800-000003000000}">
      <text>
        <r>
          <rPr>
            <b/>
            <sz val="9"/>
            <color indexed="81"/>
            <rFont val="Segoe UI"/>
            <family val="2"/>
          </rPr>
          <t>Astecnica:</t>
        </r>
        <r>
          <rPr>
            <sz val="9"/>
            <color indexed="81"/>
            <rFont val="Segoe UI"/>
            <family val="2"/>
          </rPr>
          <t xml:space="preserve">
Com ART</t>
        </r>
      </text>
    </comment>
    <comment ref="O12" authorId="0" shapeId="0" xr:uid="{00000000-0006-0000-0800-000004000000}">
      <text>
        <r>
          <rPr>
            <b/>
            <sz val="9"/>
            <color indexed="81"/>
            <rFont val="Segoe UI"/>
            <family val="2"/>
          </rPr>
          <t>Astecnica:</t>
        </r>
        <r>
          <rPr>
            <sz val="9"/>
            <color indexed="81"/>
            <rFont val="Segoe UI"/>
            <family val="2"/>
          </rPr>
          <t xml:space="preserve">
Com ART</t>
        </r>
      </text>
    </comment>
    <comment ref="AC19" authorId="0" shapeId="0" xr:uid="{00000000-0006-0000-0800-000005000000}">
      <text>
        <r>
          <rPr>
            <b/>
            <sz val="9"/>
            <color indexed="81"/>
            <rFont val="Segoe UI"/>
            <family val="2"/>
          </rPr>
          <t>Astecnica:</t>
        </r>
        <r>
          <rPr>
            <sz val="9"/>
            <color indexed="81"/>
            <rFont val="Segoe UI"/>
            <family val="2"/>
          </rPr>
          <t xml:space="preserve">
Reajuste anual
</t>
        </r>
      </text>
    </comment>
    <comment ref="Y52" authorId="0" shapeId="0" xr:uid="{00000000-0006-0000-0800-000006000000}">
      <text>
        <r>
          <rPr>
            <b/>
            <sz val="9"/>
            <color indexed="81"/>
            <rFont val="Segoe UI"/>
            <family val="2"/>
          </rPr>
          <t>Astecnica:</t>
        </r>
        <r>
          <rPr>
            <sz val="9"/>
            <color indexed="81"/>
            <rFont val="Segoe UI"/>
            <family val="2"/>
          </rPr>
          <t xml:space="preserve">
1ª aditivo
</t>
        </r>
      </text>
    </comment>
    <comment ref="AA52" authorId="0" shapeId="0" xr:uid="{00000000-0006-0000-0800-000007000000}">
      <text>
        <r>
          <rPr>
            <b/>
            <sz val="9"/>
            <color indexed="81"/>
            <rFont val="Segoe UI"/>
            <family val="2"/>
          </rPr>
          <t>Astecnica:</t>
        </r>
        <r>
          <rPr>
            <sz val="9"/>
            <color indexed="81"/>
            <rFont val="Segoe UI"/>
            <family val="2"/>
          </rPr>
          <t xml:space="preserve">
final do contrato original</t>
        </r>
      </text>
    </comment>
    <comment ref="AG52" authorId="0" shapeId="0" xr:uid="{00000000-0006-0000-0800-000008000000}">
      <text>
        <r>
          <rPr>
            <b/>
            <sz val="9"/>
            <color indexed="81"/>
            <rFont val="Segoe UI"/>
            <family val="2"/>
          </rPr>
          <t>Astecnica:</t>
        </r>
        <r>
          <rPr>
            <sz val="9"/>
            <color indexed="81"/>
            <rFont val="Segoe UI"/>
            <family val="2"/>
          </rPr>
          <t xml:space="preserve">
Início área comum</t>
        </r>
      </text>
    </comment>
    <comment ref="AI52" authorId="0" shapeId="0" xr:uid="{00000000-0006-0000-0800-000009000000}">
      <text>
        <r>
          <rPr>
            <b/>
            <sz val="9"/>
            <color indexed="81"/>
            <rFont val="Segoe UI"/>
            <family val="2"/>
          </rPr>
          <t>Astecnica:</t>
        </r>
        <r>
          <rPr>
            <sz val="9"/>
            <color indexed="81"/>
            <rFont val="Segoe UI"/>
            <family val="2"/>
          </rPr>
          <t xml:space="preserve">
2ª parcela</t>
        </r>
      </text>
    </comment>
    <comment ref="AK52" authorId="0" shapeId="0" xr:uid="{00000000-0006-0000-0800-00000A000000}">
      <text>
        <r>
          <rPr>
            <b/>
            <sz val="9"/>
            <color indexed="81"/>
            <rFont val="Segoe UI"/>
            <family val="2"/>
          </rPr>
          <t>Astecnica:</t>
        </r>
        <r>
          <rPr>
            <sz val="9"/>
            <color indexed="81"/>
            <rFont val="Segoe UI"/>
            <family val="2"/>
          </rPr>
          <t xml:space="preserve">
Parcela final</t>
        </r>
      </text>
    </comment>
    <comment ref="U55" authorId="0" shapeId="0" xr:uid="{00000000-0006-0000-0800-00000B000000}">
      <text>
        <r>
          <rPr>
            <b/>
            <sz val="9"/>
            <color indexed="81"/>
            <rFont val="Segoe UI"/>
            <family val="2"/>
          </rPr>
          <t>Astecnica:</t>
        </r>
        <r>
          <rPr>
            <sz val="9"/>
            <color indexed="81"/>
            <rFont val="Segoe UI"/>
            <family val="2"/>
          </rPr>
          <t xml:space="preserve">
materiais</t>
        </r>
      </text>
    </comment>
    <comment ref="W55" authorId="0" shapeId="0" xr:uid="{00000000-0006-0000-0800-00000C000000}">
      <text>
        <r>
          <rPr>
            <b/>
            <sz val="9"/>
            <color indexed="81"/>
            <rFont val="Segoe UI"/>
            <family val="2"/>
          </rPr>
          <t>Astecnica:</t>
        </r>
        <r>
          <rPr>
            <sz val="9"/>
            <color indexed="81"/>
            <rFont val="Segoe UI"/>
            <family val="2"/>
          </rPr>
          <t xml:space="preserve">
Entrada mais fretes
</t>
        </r>
      </text>
    </comment>
    <comment ref="Y55" authorId="0" shapeId="0" xr:uid="{00000000-0006-0000-0800-00000D000000}">
      <text>
        <r>
          <rPr>
            <b/>
            <sz val="9"/>
            <color indexed="81"/>
            <rFont val="Segoe UI"/>
            <family val="2"/>
          </rPr>
          <t>Astecnica:</t>
        </r>
        <r>
          <rPr>
            <sz val="9"/>
            <color indexed="81"/>
            <rFont val="Segoe UI"/>
            <family val="2"/>
          </rPr>
          <t xml:space="preserve">
materiais</t>
        </r>
      </text>
    </comment>
    <comment ref="AA55" authorId="0" shapeId="0" xr:uid="{00000000-0006-0000-0800-00000E000000}">
      <text>
        <r>
          <rPr>
            <b/>
            <sz val="9"/>
            <color indexed="81"/>
            <rFont val="Segoe UI"/>
            <family val="2"/>
          </rPr>
          <t>Astecnica:</t>
        </r>
        <r>
          <rPr>
            <sz val="9"/>
            <color indexed="81"/>
            <rFont val="Segoe UI"/>
            <family val="2"/>
          </rPr>
          <t xml:space="preserve">
Final pista +rampa entrada
</t>
        </r>
      </text>
    </comment>
    <comment ref="AG55" authorId="0" shapeId="0" xr:uid="{00000000-0006-0000-0800-00000F000000}">
      <text>
        <r>
          <rPr>
            <b/>
            <sz val="9"/>
            <color indexed="81"/>
            <rFont val="Segoe UI"/>
            <family val="2"/>
          </rPr>
          <t>Astecnica:</t>
        </r>
        <r>
          <rPr>
            <sz val="9"/>
            <color indexed="81"/>
            <rFont val="Segoe UI"/>
            <family val="2"/>
          </rPr>
          <t xml:space="preserve">
Final rampa</t>
        </r>
      </text>
    </comment>
    <comment ref="AI55" authorId="0" shapeId="0" xr:uid="{00000000-0006-0000-0800-000010000000}">
      <text>
        <r>
          <rPr>
            <b/>
            <sz val="9"/>
            <color indexed="81"/>
            <rFont val="Segoe UI"/>
            <family val="2"/>
          </rPr>
          <t>Astecnica:</t>
        </r>
        <r>
          <rPr>
            <sz val="9"/>
            <color indexed="81"/>
            <rFont val="Segoe UI"/>
            <family val="2"/>
          </rPr>
          <t xml:space="preserve">
Piso lixeira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Astecnica</author>
  </authors>
  <commentList>
    <comment ref="AF9" authorId="0" shapeId="0" xr:uid="{00000000-0006-0000-0900-000001000000}">
      <text>
        <r>
          <rPr>
            <b/>
            <sz val="9"/>
            <color indexed="81"/>
            <rFont val="Segoe UI"/>
            <family val="2"/>
          </rPr>
          <t>Astecnica:</t>
        </r>
        <r>
          <rPr>
            <sz val="9"/>
            <color indexed="81"/>
            <rFont val="Segoe UI"/>
            <family val="2"/>
          </rPr>
          <t xml:space="preserve">
com ART</t>
        </r>
      </text>
    </comment>
    <comment ref="AJ9" authorId="0" shapeId="0" xr:uid="{00000000-0006-0000-0900-000002000000}">
      <text>
        <r>
          <rPr>
            <b/>
            <sz val="9"/>
            <color indexed="81"/>
            <rFont val="Segoe UI"/>
            <family val="2"/>
          </rPr>
          <t>Astecnica:</t>
        </r>
        <r>
          <rPr>
            <sz val="9"/>
            <color indexed="81"/>
            <rFont val="Segoe UI"/>
            <family val="2"/>
          </rPr>
          <t xml:space="preserve">
com ART</t>
        </r>
      </text>
    </comment>
    <comment ref="P32" authorId="0" shapeId="0" xr:uid="{00000000-0006-0000-0900-000003000000}">
      <text>
        <r>
          <rPr>
            <b/>
            <sz val="9"/>
            <color indexed="81"/>
            <rFont val="Segoe UI"/>
            <family val="2"/>
          </rPr>
          <t>Astecnica:</t>
        </r>
        <r>
          <rPr>
            <sz val="9"/>
            <color indexed="81"/>
            <rFont val="Segoe UI"/>
            <family val="2"/>
          </rPr>
          <t xml:space="preserve">
Com ART</t>
        </r>
      </text>
    </comment>
    <comment ref="P59" authorId="0" shapeId="0" xr:uid="{00000000-0006-0000-0900-000004000000}">
      <text>
        <r>
          <rPr>
            <b/>
            <sz val="9"/>
            <color indexed="81"/>
            <rFont val="Segoe UI"/>
            <family val="2"/>
          </rPr>
          <t>Astecnica:</t>
        </r>
        <r>
          <rPr>
            <sz val="9"/>
            <color indexed="81"/>
            <rFont val="Segoe UI"/>
            <family val="2"/>
          </rPr>
          <t xml:space="preserve">
Vencimento 01/2026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Astecnica</author>
  </authors>
  <commentList>
    <comment ref="AJ9" authorId="0" shapeId="0" xr:uid="{00000000-0006-0000-0A00-000001000000}">
      <text>
        <r>
          <rPr>
            <b/>
            <sz val="9"/>
            <color indexed="81"/>
            <rFont val="Segoe UI"/>
            <family val="2"/>
          </rPr>
          <t>Astecnica:</t>
        </r>
        <r>
          <rPr>
            <sz val="9"/>
            <color indexed="81"/>
            <rFont val="Segoe UI"/>
            <family val="2"/>
          </rPr>
          <t xml:space="preserve">
com ART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Astecnica</author>
  </authors>
  <commentList>
    <comment ref="AJ9" authorId="0" shapeId="0" xr:uid="{00000000-0006-0000-0B00-000001000000}">
      <text>
        <r>
          <rPr>
            <b/>
            <sz val="9"/>
            <color indexed="81"/>
            <rFont val="Segoe UI"/>
            <family val="2"/>
          </rPr>
          <t>Astecnica:</t>
        </r>
        <r>
          <rPr>
            <sz val="9"/>
            <color indexed="81"/>
            <rFont val="Segoe UI"/>
            <family val="2"/>
          </rPr>
          <t xml:space="preserve">
com ART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Astecnica</author>
  </authors>
  <commentList>
    <comment ref="AJ9" authorId="0" shapeId="0" xr:uid="{A3B4A882-8A02-4BAC-A6C8-AF4520A8204A}">
      <text>
        <r>
          <rPr>
            <b/>
            <sz val="9"/>
            <color indexed="81"/>
            <rFont val="Segoe UI"/>
            <family val="2"/>
          </rPr>
          <t>Astecnica:</t>
        </r>
        <r>
          <rPr>
            <sz val="9"/>
            <color indexed="81"/>
            <rFont val="Segoe UI"/>
            <family val="2"/>
          </rPr>
          <t xml:space="preserve">
com ART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Modelo de Dados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Controle de Relação de contratos.xlsx!Tabela145" type="102" refreshedVersion="5" minRefreshableVersion="5">
    <extLst>
      <ext xmlns:x15="http://schemas.microsoft.com/office/spreadsheetml/2010/11/main" uri="{DE250136-89BD-433C-8126-D09CA5730AF9}">
        <x15:connection id="Tabela145-4c0835b9-c297-4aad-a9b7-388ed95c57ea" autoDelete="1">
          <x15:rangePr sourceName="_xlcn.WorksheetConnection_ControledeRelaçãodecontratos.xlsxTabela1451"/>
        </x15:connection>
      </ext>
    </extLst>
  </connection>
</connections>
</file>

<file path=xl/sharedStrings.xml><?xml version="1.0" encoding="utf-8"?>
<sst xmlns="http://schemas.openxmlformats.org/spreadsheetml/2006/main" count="8092" uniqueCount="382">
  <si>
    <t>Empresa</t>
  </si>
  <si>
    <t>Vigência</t>
  </si>
  <si>
    <t>Denúncia de cancelamento</t>
  </si>
  <si>
    <t>Data de assinatura</t>
  </si>
  <si>
    <t>Serviço de manutenção de sistema de automação de estacionamento</t>
  </si>
  <si>
    <t>Tipo do serviço prestado (contratado)</t>
  </si>
  <si>
    <t>Indeterminado</t>
  </si>
  <si>
    <t>30 dias antes</t>
  </si>
  <si>
    <t>Renovação</t>
  </si>
  <si>
    <t>Supra informática</t>
  </si>
  <si>
    <t>Serviços de manutenção de rede local</t>
  </si>
  <si>
    <t>Serviço de manutenção de ar condicionado</t>
  </si>
  <si>
    <t>Automática + 12 meses</t>
  </si>
  <si>
    <t>12 meses</t>
  </si>
  <si>
    <t>30 dias antes do término</t>
  </si>
  <si>
    <t>Não existe</t>
  </si>
  <si>
    <t>TWS Telecom</t>
  </si>
  <si>
    <t>TJ ar condionado</t>
  </si>
  <si>
    <t>WPS Brasil</t>
  </si>
  <si>
    <t>Responsável</t>
  </si>
  <si>
    <t>César</t>
  </si>
  <si>
    <t>Serviço de manutenção PABX e Software de tarifação</t>
  </si>
  <si>
    <t>Softwareexpress</t>
  </si>
  <si>
    <t>Licença de uso de programa SiTef e utilitários</t>
  </si>
  <si>
    <t>Ms geradores</t>
  </si>
  <si>
    <t>Aguardando atualização do contrato</t>
  </si>
  <si>
    <t>1Click internet free</t>
  </si>
  <si>
    <t>Sistema de fornecimento de internet WIFI</t>
  </si>
  <si>
    <t>24 meses</t>
  </si>
  <si>
    <t>45 dias antes</t>
  </si>
  <si>
    <t>Carros ??</t>
  </si>
  <si>
    <t>Aguiar construções</t>
  </si>
  <si>
    <t>Leitura por telemetria dos hidrômetros</t>
  </si>
  <si>
    <t>60 meses</t>
  </si>
  <si>
    <t>Por comunicação</t>
  </si>
  <si>
    <t>GSURF</t>
  </si>
  <si>
    <t>Transmissão segura de dados</t>
  </si>
  <si>
    <t>Copasa</t>
  </si>
  <si>
    <t>Cemig</t>
  </si>
  <si>
    <t>Gasmig</t>
  </si>
  <si>
    <t>Comodato do kit de transmissão</t>
  </si>
  <si>
    <t>Comodato</t>
  </si>
  <si>
    <t>Simem</t>
  </si>
  <si>
    <t>Montele</t>
  </si>
  <si>
    <t>Otis</t>
  </si>
  <si>
    <t>Evimar Pereira</t>
  </si>
  <si>
    <t>Manutenção no telhado</t>
  </si>
  <si>
    <t>Executado</t>
  </si>
  <si>
    <t>Pollus engenharia</t>
  </si>
  <si>
    <t>Substituição de eletrocalhas</t>
  </si>
  <si>
    <t>Abadia</t>
  </si>
  <si>
    <t>Projeto AVCB</t>
  </si>
  <si>
    <t>Seni pisos</t>
  </si>
  <si>
    <t>Recuperação do piso do estacionamento</t>
  </si>
  <si>
    <t>Construtora metrópolis</t>
  </si>
  <si>
    <t>Construção de caixas de água para sprinklers</t>
  </si>
  <si>
    <t>OBM</t>
  </si>
  <si>
    <t>Remoção e instalação de caixas d'agua e instalação de barrilhete</t>
  </si>
  <si>
    <t>IMTRAFF</t>
  </si>
  <si>
    <t>Em andamento</t>
  </si>
  <si>
    <t>Contratos mensais</t>
  </si>
  <si>
    <t>Contratos demandados</t>
  </si>
  <si>
    <t>Focus</t>
  </si>
  <si>
    <t>Myr</t>
  </si>
  <si>
    <t>Gérance</t>
  </si>
  <si>
    <t>Projetos arquitetônicos de ampliação</t>
  </si>
  <si>
    <t>Operação urbana simplificada</t>
  </si>
  <si>
    <t>Consultoria para engenharia de tráfego RIC (relatório de impacto na circulação) EIV (estudo de impacto na vizinhaça)</t>
  </si>
  <si>
    <t>Gerenciamento do projeto</t>
  </si>
  <si>
    <t>Análise de contratos</t>
  </si>
  <si>
    <t>Colunas1</t>
  </si>
  <si>
    <t>Colunas2</t>
  </si>
  <si>
    <t>Colunas3</t>
  </si>
  <si>
    <t>Colunas4</t>
  </si>
  <si>
    <t>Colunas5</t>
  </si>
  <si>
    <t>Colunas6</t>
  </si>
  <si>
    <t>Colunas7</t>
  </si>
  <si>
    <t>Colunas9</t>
  </si>
  <si>
    <t>Esdras</t>
  </si>
  <si>
    <t>Valor atual</t>
  </si>
  <si>
    <t>Alfa rede</t>
  </si>
  <si>
    <t>Manutenção em sistema de CFTV</t>
  </si>
  <si>
    <t>Fernando</t>
  </si>
  <si>
    <t>Cemig Telecom</t>
  </si>
  <si>
    <t>Fornecimento de link dedicado</t>
  </si>
  <si>
    <t>Manutenção do elevador 01 e deficientes</t>
  </si>
  <si>
    <t>Manutenção elevador 02</t>
  </si>
  <si>
    <t>Embratel</t>
  </si>
  <si>
    <t>Hospedagem do aplicativo</t>
  </si>
  <si>
    <t>Automática</t>
  </si>
  <si>
    <t>Fabiana</t>
  </si>
  <si>
    <t>Goddaddy</t>
  </si>
  <si>
    <t>Hospedagem do site do mercado</t>
  </si>
  <si>
    <t>Falta contrato</t>
  </si>
  <si>
    <t>Colunas10</t>
  </si>
  <si>
    <t>Ricardo caçambas</t>
  </si>
  <si>
    <t>Locação de caçambas de entulho</t>
  </si>
  <si>
    <t>Sisponto</t>
  </si>
  <si>
    <t>Controle de acesso sanitários</t>
  </si>
  <si>
    <t>Depende das horas de visita</t>
  </si>
  <si>
    <t>Ricardo</t>
  </si>
  <si>
    <t>Plataforma elevatória</t>
  </si>
  <si>
    <t>Aluguel da plataforma</t>
  </si>
  <si>
    <t>Elevador da cozinha escola</t>
  </si>
  <si>
    <t>Verificar</t>
  </si>
  <si>
    <t>OBS</t>
  </si>
  <si>
    <t>Cemig geral e lojistas</t>
  </si>
  <si>
    <t>Pagamento</t>
  </si>
  <si>
    <t>Falta contrato
Demonstrativo p/ Augusto</t>
  </si>
  <si>
    <t>Valor por caçamba / Falta contrato</t>
  </si>
  <si>
    <t>NF início mês ref. Serviço do mês vigente</t>
  </si>
  <si>
    <t>Demonstrativo que augusto envia</t>
  </si>
  <si>
    <t>RECEBIMENTO DE NF</t>
  </si>
  <si>
    <t>Data</t>
  </si>
  <si>
    <t>Valor</t>
  </si>
  <si>
    <t>Data2</t>
  </si>
  <si>
    <t>Valor3</t>
  </si>
  <si>
    <t>Data3</t>
  </si>
  <si>
    <t>Valor4</t>
  </si>
  <si>
    <t>Data4</t>
  </si>
  <si>
    <t>Valor5</t>
  </si>
  <si>
    <t>Data5</t>
  </si>
  <si>
    <t>Valor6</t>
  </si>
  <si>
    <t>Data6</t>
  </si>
  <si>
    <t>Valor7</t>
  </si>
  <si>
    <t>Data7</t>
  </si>
  <si>
    <t>Valor8</t>
  </si>
  <si>
    <t>Data8</t>
  </si>
  <si>
    <t>Valor9</t>
  </si>
  <si>
    <t>Data9</t>
  </si>
  <si>
    <t>Valor10</t>
  </si>
  <si>
    <t>Data10</t>
  </si>
  <si>
    <t>Valor11</t>
  </si>
  <si>
    <t>Data11</t>
  </si>
  <si>
    <t>Valor12</t>
  </si>
  <si>
    <t>Data12</t>
  </si>
  <si>
    <t>Data13</t>
  </si>
  <si>
    <t>Valor14</t>
  </si>
  <si>
    <t>Valor2</t>
  </si>
  <si>
    <t>Variável</t>
  </si>
  <si>
    <t>NF dentro do mês ref. Serviço mês anterior</t>
  </si>
  <si>
    <t>NF início mês ref. Serviço mês vigente</t>
  </si>
  <si>
    <t>Binário</t>
  </si>
  <si>
    <t>Wifi</t>
  </si>
  <si>
    <t>Contrato cancelado a partir de fevereiro</t>
  </si>
  <si>
    <t>NF início mês ref. Serviço mês anterior</t>
  </si>
  <si>
    <t>Finalizado</t>
  </si>
  <si>
    <t>NF dia 15 ref. As caçambas utilizadas no período</t>
  </si>
  <si>
    <t>Valor por caçamba</t>
  </si>
  <si>
    <t>Cancelado</t>
  </si>
  <si>
    <t>ACF</t>
  </si>
  <si>
    <t>Manutenção climatizadores</t>
  </si>
  <si>
    <t>Total</t>
  </si>
  <si>
    <t>Permuta</t>
  </si>
  <si>
    <t>Sem contrato</t>
  </si>
  <si>
    <t>Ricardo/Esdras</t>
  </si>
  <si>
    <t>Fabiana/Esdras</t>
  </si>
  <si>
    <t>Fernando/Esdras</t>
  </si>
  <si>
    <t>Mandic Cloud</t>
  </si>
  <si>
    <t>Backup nuvem e hospedagem sist. Secret.</t>
  </si>
  <si>
    <t>Net Virtua 240 Mb</t>
  </si>
  <si>
    <t>Internet Estacionamento</t>
  </si>
  <si>
    <t>Banda larga 50 Mb</t>
  </si>
  <si>
    <t>Vivo telefônica 50 Mb</t>
  </si>
  <si>
    <t>Mesal</t>
  </si>
  <si>
    <t>Anual</t>
  </si>
  <si>
    <t>Embratel/claro</t>
  </si>
  <si>
    <t>Net TV e virtua</t>
  </si>
  <si>
    <t>Net vírtua e fone</t>
  </si>
  <si>
    <t>Cozinha escola codemig</t>
  </si>
  <si>
    <t>Mensal</t>
  </si>
  <si>
    <t>Geral e clientes</t>
  </si>
  <si>
    <t>Água e esgoto</t>
  </si>
  <si>
    <t>Energia</t>
  </si>
  <si>
    <t>GN</t>
  </si>
  <si>
    <t>Projetos arquitetônicos eventos estacionamento</t>
  </si>
  <si>
    <t>Gasmig cantina e outros</t>
  </si>
  <si>
    <t>Gasmig Codemig</t>
  </si>
  <si>
    <t>GN da cozinha escola</t>
  </si>
  <si>
    <t>GN cantina, copa e outras</t>
  </si>
  <si>
    <t>Energia geral várias contas</t>
  </si>
  <si>
    <t>-</t>
  </si>
  <si>
    <t>Geral e clientes / Cobrar de cada lojista separado</t>
  </si>
  <si>
    <t>Ver edson</t>
  </si>
  <si>
    <t>Horas de visita</t>
  </si>
  <si>
    <t>Edson - 999558783</t>
  </si>
  <si>
    <t>Contato</t>
  </si>
  <si>
    <t>João - 975757000</t>
  </si>
  <si>
    <t>Cíntia - 984649056</t>
  </si>
  <si>
    <t>Victor - 991931090</t>
  </si>
  <si>
    <t>Natália - 991780812</t>
  </si>
  <si>
    <t>Leandro - 981049999</t>
  </si>
  <si>
    <t>Josué - 995789366</t>
  </si>
  <si>
    <t>Mariana - 33731745</t>
  </si>
  <si>
    <t>Antônio - 988897011</t>
  </si>
  <si>
    <t>Washington - 32501833</t>
  </si>
  <si>
    <t>Alexandre - 30488470</t>
  </si>
  <si>
    <t>Jonas - 991771169</t>
  </si>
  <si>
    <t>Paulo - 999760697</t>
  </si>
  <si>
    <t xml:space="preserve"> -   </t>
  </si>
  <si>
    <t>Banda larga 200Mb estac. + tel cozinha escola</t>
  </si>
  <si>
    <t>Portão MC 03</t>
  </si>
  <si>
    <t>Projeto câmara trafos</t>
  </si>
  <si>
    <t>Plataforma espaço cultural 04</t>
  </si>
  <si>
    <t>Verificação estrutural</t>
  </si>
  <si>
    <t>Eletrocalha St. Catarina</t>
  </si>
  <si>
    <t>Eletrocalha CFTV</t>
  </si>
  <si>
    <t>Revestimento térmico cobertura</t>
  </si>
  <si>
    <t>Mateus - (77)34214502</t>
  </si>
  <si>
    <t>Último aditivo</t>
  </si>
  <si>
    <t>Novo contrato</t>
  </si>
  <si>
    <t>90 dias antes</t>
  </si>
  <si>
    <t>Laudo de inspeção anual</t>
  </si>
  <si>
    <t>ART</t>
  </si>
  <si>
    <t>Manutenção do elevador 01 e deficientes 02</t>
  </si>
  <si>
    <t>Valor por caçamba/somente contrato de compra do equipamento</t>
  </si>
  <si>
    <t>27 meses</t>
  </si>
  <si>
    <t>Por termo aditivo</t>
  </si>
  <si>
    <t>Vencimento</t>
  </si>
  <si>
    <t>Paula machado (Estruturas)</t>
  </si>
  <si>
    <t>Paula Machado (Elevador)</t>
  </si>
  <si>
    <t>Simem (Trocador de calor)</t>
  </si>
  <si>
    <t>Focus (Projetos varanda)</t>
  </si>
  <si>
    <t>Moderna (Portões)</t>
  </si>
  <si>
    <t>Enpro (Proj. subestação)</t>
  </si>
  <si>
    <t>Vertiline (Ele. Def. EC04)</t>
  </si>
  <si>
    <t>FC Orlando (Calha st. Cat.)</t>
  </si>
  <si>
    <t>Entech (Calha CFTV)</t>
  </si>
  <si>
    <t>EMC e outros (Retrofit telh.)</t>
  </si>
  <si>
    <t>Anexo</t>
  </si>
  <si>
    <t>Binário (TL Net)</t>
  </si>
  <si>
    <t>Vertiline</t>
  </si>
  <si>
    <t>Manutenção plataforma deficientes EC04</t>
  </si>
  <si>
    <t>Oi administração</t>
  </si>
  <si>
    <t>Oi estacionamento e coz.</t>
  </si>
  <si>
    <t>Banda larga 200Mb administração</t>
  </si>
  <si>
    <t>FC Orlando (Calha Goit.)</t>
  </si>
  <si>
    <t>Gestão lanternim</t>
  </si>
  <si>
    <t>Vertiline elevadores</t>
  </si>
  <si>
    <t>NeoGeo (scanner piso)</t>
  </si>
  <si>
    <t>Telhas (amecon)</t>
  </si>
  <si>
    <t>FC Orlando (Calha Meio)</t>
  </si>
  <si>
    <t>Focus (Projeto meio)</t>
  </si>
  <si>
    <t>Vertiline elevador</t>
  </si>
  <si>
    <t xml:space="preserve">mÊs </t>
  </si>
  <si>
    <t xml:space="preserve"> valor 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</si>
  <si>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</si>
  <si>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</si>
  <si>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</si>
  <si>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</si>
  <si>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</si>
  <si>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</si>
  <si>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</si>
  <si>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</si>
  <si>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</si>
  <si>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</si>
  <si>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</si>
  <si>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</si>
  <si>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contas net e telefone</t>
  </si>
  <si>
    <t>Paula machado (projetos reforços)</t>
  </si>
  <si>
    <t>Moderna (Portão 6)</t>
  </si>
  <si>
    <t>Manutenção plataforma deficientes EC02</t>
  </si>
  <si>
    <t>Serviços de manutenção de rede local e PC's</t>
  </si>
  <si>
    <t>Manutenção gerador</t>
  </si>
  <si>
    <t>Wifi Mercado geral</t>
  </si>
  <si>
    <t>American tower (Cemig tel)</t>
  </si>
  <si>
    <t>Thamyres - 35127100</t>
  </si>
  <si>
    <t>Mellina - 998791264</t>
  </si>
  <si>
    <t xml:space="preserve">Fornecimento de link dedicado </t>
  </si>
  <si>
    <t>Élida/Esdras</t>
  </si>
  <si>
    <t>Ver Edson</t>
  </si>
  <si>
    <t>Suspenso</t>
  </si>
  <si>
    <t>Susp. até dez/20</t>
  </si>
  <si>
    <t>Cancelado em08/20</t>
  </si>
  <si>
    <t>Alzata Rec. Estrutural</t>
  </si>
  <si>
    <t>Aquisição plataforma prórpia</t>
  </si>
  <si>
    <t>Item</t>
  </si>
  <si>
    <t>Planilha independente</t>
  </si>
  <si>
    <t>Sem uso</t>
  </si>
  <si>
    <t>Banda larga 200Mb servidor estacionamento</t>
  </si>
  <si>
    <t>Banda larga 200Mb servidor administração</t>
  </si>
  <si>
    <t>Oi administração adm.</t>
  </si>
  <si>
    <t>Oi administração estac.</t>
  </si>
  <si>
    <t>Manutenção plataforma deficientes EC03</t>
  </si>
  <si>
    <t>Cobrança no mês de janeiro</t>
  </si>
  <si>
    <t>Rótulos de Linha</t>
  </si>
  <si>
    <t>Total Geral</t>
  </si>
  <si>
    <t>Contagem de Valor3</t>
  </si>
  <si>
    <t>Contagem de Valor4</t>
  </si>
  <si>
    <t>Contagem de Valor5</t>
  </si>
  <si>
    <t>Contagem de Valor6</t>
  </si>
  <si>
    <t>Contagem de Valor7</t>
  </si>
  <si>
    <t>Contagem de Valor8</t>
  </si>
  <si>
    <t>Contagem de Valor9</t>
  </si>
  <si>
    <t>Contagem de Valor10</t>
  </si>
  <si>
    <t>Contagem de Valor11</t>
  </si>
  <si>
    <t>Contagem de Valor12</t>
  </si>
  <si>
    <t>PH desentupidora</t>
  </si>
  <si>
    <t>Limpeza de caixas de gordura</t>
  </si>
  <si>
    <t>Leonardo - (31)983072128</t>
  </si>
  <si>
    <t>Moderna</t>
  </si>
  <si>
    <t>MC04</t>
  </si>
  <si>
    <t>Pista de rolamento</t>
  </si>
  <si>
    <t>Safetec (Gmail e-mail)</t>
  </si>
  <si>
    <t>Hospedagem do domínio mercado no gmail</t>
  </si>
  <si>
    <t>36 meses</t>
  </si>
  <si>
    <t>Sem renov. Autom.</t>
  </si>
  <si>
    <t>Victor - (81)981337561</t>
  </si>
  <si>
    <t>Serv. de manut. de sist. de automação do estac.</t>
  </si>
  <si>
    <t>NF</t>
  </si>
  <si>
    <t>Mandic Cloud (Clara net)</t>
  </si>
  <si>
    <t>Oi estacionamento 02</t>
  </si>
  <si>
    <t>Banda larga 200Mb estacionamento 02</t>
  </si>
  <si>
    <t>AVG</t>
  </si>
  <si>
    <t>Sem NF</t>
  </si>
  <si>
    <t>Neo geo scanner piso</t>
  </si>
  <si>
    <t>Medições elétricas QM's</t>
  </si>
  <si>
    <t>Forma Pgto</t>
  </si>
  <si>
    <t>Depósito</t>
  </si>
  <si>
    <t>Boleto</t>
  </si>
  <si>
    <t>Faturas</t>
  </si>
  <si>
    <t>Cob. Extra</t>
  </si>
  <si>
    <t>Elétrica área comum</t>
  </si>
  <si>
    <t>Vertiline/Daxor</t>
  </si>
  <si>
    <t>Luciano - 23915406</t>
  </si>
  <si>
    <t>Cob. p/ jan</t>
  </si>
  <si>
    <t>Oi estacionamento 02 1123 ES</t>
  </si>
  <si>
    <t>Oi administração estac. AD AX</t>
  </si>
  <si>
    <t>Oi administração adm. GOI AN1</t>
  </si>
  <si>
    <t>Oi estacionamento e coz. 201</t>
  </si>
  <si>
    <t>Michel - 971216111</t>
  </si>
  <si>
    <t>Century</t>
  </si>
  <si>
    <t>Backup em nuvem</t>
  </si>
  <si>
    <t>11.1</t>
  </si>
  <si>
    <t>Boleto pagbank</t>
  </si>
  <si>
    <t>NF dentro do mês com boleto no mês seguinte</t>
  </si>
  <si>
    <t>Net sala serv. Adm</t>
  </si>
  <si>
    <t>Net estacionamento</t>
  </si>
  <si>
    <t>vírtua 600Mb</t>
  </si>
  <si>
    <t>Gasmig Cozinha escola</t>
  </si>
  <si>
    <t>Placa mãe</t>
  </si>
  <si>
    <t>NA</t>
  </si>
  <si>
    <t>Cancelado em 08/20</t>
  </si>
  <si>
    <t>Caçambas</t>
  </si>
  <si>
    <t>Transporte caçambas de entulho (PBH)</t>
  </si>
  <si>
    <t>Juliano - 991942737</t>
  </si>
  <si>
    <t>0800 769 0800 (Opção 262 – Opção1) </t>
  </si>
  <si>
    <t>4.1</t>
  </si>
  <si>
    <t>4.2</t>
  </si>
  <si>
    <t>5.1</t>
  </si>
  <si>
    <t>5.2</t>
  </si>
  <si>
    <t>6.1</t>
  </si>
  <si>
    <t>6.2</t>
  </si>
  <si>
    <t>Cemig/Cemig Sim</t>
  </si>
  <si>
    <t>Ok</t>
  </si>
  <si>
    <t>Banda larga 600Mb servidor estacionamento</t>
  </si>
  <si>
    <t>Banda larga 600Mb estacionamento 02</t>
  </si>
  <si>
    <t>Água e esgoto (2un)</t>
  </si>
  <si>
    <t>Energia geral várias contas (5un)</t>
  </si>
  <si>
    <t>TJ ar condicionado</t>
  </si>
  <si>
    <t>TTG</t>
  </si>
  <si>
    <t>Mensal NF e boleto de pagamento dentro do mês</t>
  </si>
  <si>
    <t>Feita Ago</t>
  </si>
  <si>
    <t>PABX TWS</t>
  </si>
  <si>
    <t>Ok entregue</t>
  </si>
  <si>
    <t>Túlio - (31)992175791</t>
  </si>
  <si>
    <t>Net sala serv. Adm 013/039366201</t>
  </si>
  <si>
    <t>Net estacionamento 013/039364489</t>
  </si>
  <si>
    <t>Telefone fixo vivo 699995721950</t>
  </si>
  <si>
    <t>Romildo - (31)994500129</t>
  </si>
  <si>
    <t>PABX cabear</t>
  </si>
  <si>
    <t>Manutenção preventiva PABX</t>
  </si>
  <si>
    <t>Reginaldo - (31)991061092</t>
  </si>
  <si>
    <t>Manutenção sistemas de ares condicionados</t>
  </si>
  <si>
    <t>Telefone fixo</t>
  </si>
  <si>
    <t>locação das impressoras</t>
  </si>
  <si>
    <t>Após vencimento sem denuncia</t>
  </si>
  <si>
    <t>Victor (31)82030680</t>
  </si>
  <si>
    <t>Oi administração rack serv. estac. AD AX</t>
  </si>
  <si>
    <t>Net estac. 02 013/040750252</t>
  </si>
  <si>
    <t>Net estac. wifi 013/039364489</t>
  </si>
  <si>
    <t>Net rack serv. Estac. P2 013/040758520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</si>
</sst>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416]mmmm\-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medium">
        <color indexed="64"/>
      </right>
      <top style="medium">
        <color indexed="64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theme="4" tint="0.39997558519241921"/>
      </bottom>
      <diagonal/>
    </border>
    <border>
      <left/>
      <right/>
      <top/>
      <bottom style="hair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4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44" fontId="0" fillId="0" borderId="1" xfId="2" applyFont="1" applyBorder="1" applyAlignment="1">
      <alignment vertical="center" wrapText="1"/>
    </xf>
    <xf numFmtId="0" fontId="0" fillId="0" borderId="1" xfId="1" applyNumberFormat="1" applyFont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44" fontId="0" fillId="0" borderId="0" xfId="2" applyFont="1" applyBorder="1" applyAlignment="1">
      <alignment vertical="center" wrapText="1"/>
    </xf>
    <xf numFmtId="44" fontId="0" fillId="0" borderId="0" xfId="2" applyFont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2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14" fontId="0" fillId="0" borderId="3" xfId="0" applyNumberFormat="1" applyBorder="1" applyAlignment="1">
      <alignment vertical="center" wrapText="1"/>
    </xf>
    <xf numFmtId="44" fontId="0" fillId="0" borderId="3" xfId="2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17" fontId="0" fillId="0" borderId="3" xfId="0" applyNumberFormat="1" applyBorder="1" applyAlignment="1">
      <alignment vertical="center" wrapText="1"/>
    </xf>
    <xf numFmtId="44" fontId="5" fillId="0" borderId="1" xfId="2" applyFont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6" fillId="0" borderId="1" xfId="0" applyFont="1" applyBorder="1" applyAlignment="1">
      <alignment vertical="center" wrapText="1"/>
    </xf>
    <xf numFmtId="14" fontId="6" fillId="0" borderId="1" xfId="0" applyNumberFormat="1" applyFont="1" applyBorder="1" applyAlignment="1">
      <alignment vertical="center" wrapText="1"/>
    </xf>
    <xf numFmtId="44" fontId="6" fillId="0" borderId="1" xfId="2" applyFont="1" applyFill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44" fontId="2" fillId="0" borderId="5" xfId="2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14" fontId="0" fillId="0" borderId="9" xfId="0" applyNumberFormat="1" applyBorder="1" applyAlignment="1">
      <alignment vertical="center" wrapText="1"/>
    </xf>
    <xf numFmtId="44" fontId="0" fillId="0" borderId="9" xfId="2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44" fontId="0" fillId="0" borderId="1" xfId="2" applyFont="1" applyFill="1" applyBorder="1" applyAlignment="1">
      <alignment vertical="center" wrapText="1"/>
    </xf>
    <xf numFmtId="14" fontId="0" fillId="0" borderId="1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44" fontId="8" fillId="0" borderId="1" xfId="0" applyNumberFormat="1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44" fontId="8" fillId="0" borderId="1" xfId="2" applyFont="1" applyBorder="1" applyAlignment="1">
      <alignment horizontal="center" vertical="center" wrapText="1"/>
    </xf>
    <xf numFmtId="43" fontId="0" fillId="0" borderId="1" xfId="1" applyFont="1" applyBorder="1" applyAlignment="1">
      <alignment vertical="center" wrapText="1"/>
    </xf>
    <xf numFmtId="43" fontId="0" fillId="0" borderId="1" xfId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44" fontId="9" fillId="0" borderId="9" xfId="0" applyNumberFormat="1" applyFont="1" applyBorder="1" applyAlignment="1">
      <alignment vertical="center" wrapText="1"/>
    </xf>
    <xf numFmtId="44" fontId="10" fillId="0" borderId="9" xfId="0" applyNumberFormat="1" applyFont="1" applyBorder="1" applyAlignment="1">
      <alignment vertical="center" wrapText="1"/>
    </xf>
    <xf numFmtId="44" fontId="10" fillId="0" borderId="10" xfId="0" applyNumberFormat="1" applyFont="1" applyBorder="1" applyAlignment="1">
      <alignment vertical="center" wrapText="1"/>
    </xf>
    <xf numFmtId="14" fontId="0" fillId="0" borderId="1" xfId="1" applyNumberFormat="1" applyFont="1" applyFill="1" applyBorder="1" applyAlignment="1">
      <alignment vertical="center" wrapText="1"/>
    </xf>
    <xf numFmtId="14" fontId="0" fillId="0" borderId="1" xfId="1" applyNumberFormat="1" applyFont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14" fontId="11" fillId="4" borderId="1" xfId="0" applyNumberFormat="1" applyFont="1" applyFill="1" applyBorder="1" applyAlignment="1">
      <alignment vertical="center" wrapText="1"/>
    </xf>
    <xf numFmtId="44" fontId="11" fillId="4" borderId="1" xfId="2" applyFont="1" applyFill="1" applyBorder="1" applyAlignment="1">
      <alignment vertical="center" wrapText="1"/>
    </xf>
    <xf numFmtId="44" fontId="2" fillId="0" borderId="1" xfId="0" applyNumberFormat="1" applyFont="1" applyBorder="1" applyAlignment="1">
      <alignment horizontal="center" vertical="center" wrapText="1"/>
    </xf>
    <xf numFmtId="8" fontId="0" fillId="0" borderId="1" xfId="2" applyNumberFormat="1" applyFont="1" applyBorder="1" applyAlignment="1">
      <alignment vertical="center" wrapText="1"/>
    </xf>
    <xf numFmtId="8" fontId="0" fillId="0" borderId="1" xfId="2" applyNumberFormat="1" applyFont="1" applyFill="1" applyBorder="1" applyAlignment="1">
      <alignment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14" fontId="0" fillId="0" borderId="9" xfId="1" applyNumberFormat="1" applyFont="1" applyBorder="1" applyAlignment="1">
      <alignment vertical="center" wrapText="1"/>
    </xf>
    <xf numFmtId="43" fontId="0" fillId="0" borderId="9" xfId="1" applyFont="1" applyBorder="1" applyAlignment="1">
      <alignment vertical="center" wrapText="1"/>
    </xf>
    <xf numFmtId="44" fontId="0" fillId="0" borderId="10" xfId="2" applyFont="1" applyBorder="1" applyAlignment="1">
      <alignment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44" fontId="0" fillId="0" borderId="1" xfId="2" applyFont="1" applyBorder="1" applyAlignment="1">
      <alignment horizontal="right" vertical="center" wrapText="1"/>
    </xf>
    <xf numFmtId="0" fontId="0" fillId="0" borderId="1" xfId="0" applyBorder="1" applyAlignment="1">
      <alignment vertical="center"/>
    </xf>
    <xf numFmtId="164" fontId="7" fillId="3" borderId="1" xfId="0" applyNumberFormat="1" applyFont="1" applyFill="1" applyBorder="1" applyAlignment="1">
      <alignment vertical="center" wrapText="1"/>
    </xf>
    <xf numFmtId="164" fontId="7" fillId="3" borderId="1" xfId="2" applyNumberFormat="1" applyFont="1" applyFill="1" applyBorder="1" applyAlignment="1">
      <alignment vertical="center" wrapText="1"/>
    </xf>
    <xf numFmtId="14" fontId="6" fillId="0" borderId="2" xfId="0" applyNumberFormat="1" applyFont="1" applyBorder="1" applyAlignment="1">
      <alignment vertical="center" wrapText="1"/>
    </xf>
    <xf numFmtId="44" fontId="6" fillId="0" borderId="4" xfId="2" applyFont="1" applyFill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14" fontId="6" fillId="0" borderId="12" xfId="0" applyNumberFormat="1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14" fontId="6" fillId="0" borderId="14" xfId="0" applyNumberFormat="1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14" fontId="6" fillId="0" borderId="16" xfId="0" applyNumberFormat="1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14" fontId="2" fillId="0" borderId="1" xfId="1" applyNumberFormat="1" applyFont="1" applyBorder="1" applyAlignment="1">
      <alignment vertical="center" wrapText="1"/>
    </xf>
    <xf numFmtId="44" fontId="2" fillId="0" borderId="1" xfId="2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8" xfId="0" applyFont="1" applyBorder="1" applyAlignment="1">
      <alignment vertical="center" wrapText="1"/>
    </xf>
    <xf numFmtId="14" fontId="2" fillId="0" borderId="9" xfId="0" applyNumberFormat="1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14" fontId="2" fillId="0" borderId="9" xfId="1" applyNumberFormat="1" applyFont="1" applyBorder="1" applyAlignment="1">
      <alignment vertical="center" wrapText="1"/>
    </xf>
    <xf numFmtId="44" fontId="2" fillId="0" borderId="9" xfId="2" applyFont="1" applyBorder="1" applyAlignment="1">
      <alignment vertical="center" wrapText="1"/>
    </xf>
    <xf numFmtId="43" fontId="2" fillId="0" borderId="9" xfId="1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14" fontId="6" fillId="0" borderId="17" xfId="0" applyNumberFormat="1" applyFont="1" applyBorder="1" applyAlignment="1">
      <alignment vertical="center" wrapText="1"/>
    </xf>
    <xf numFmtId="43" fontId="0" fillId="0" borderId="0" xfId="0" applyNumberFormat="1" applyAlignment="1">
      <alignment vertical="center" wrapText="1"/>
    </xf>
    <xf numFmtId="44" fontId="12" fillId="0" borderId="9" xfId="0" applyNumberFormat="1" applyFont="1" applyBorder="1" applyAlignment="1">
      <alignment vertical="center" wrapText="1"/>
    </xf>
    <xf numFmtId="44" fontId="12" fillId="0" borderId="10" xfId="0" applyNumberFormat="1" applyFont="1" applyBorder="1" applyAlignment="1">
      <alignment vertical="center" wrapText="1"/>
    </xf>
    <xf numFmtId="8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43" fontId="0" fillId="0" borderId="1" xfId="1" applyFont="1" applyBorder="1" applyAlignment="1">
      <alignment horizontal="right" vertical="center" wrapText="1"/>
    </xf>
    <xf numFmtId="14" fontId="0" fillId="0" borderId="1" xfId="1" applyNumberFormat="1" applyFont="1" applyBorder="1" applyAlignment="1">
      <alignment horizontal="right" vertical="center" wrapText="1"/>
    </xf>
    <xf numFmtId="43" fontId="0" fillId="0" borderId="0" xfId="1" applyFont="1" applyAlignment="1">
      <alignment vertical="center" wrapText="1"/>
    </xf>
    <xf numFmtId="13" fontId="0" fillId="0" borderId="0" xfId="1" applyNumberFormat="1" applyFont="1" applyAlignment="1">
      <alignment vertical="center" wrapText="1"/>
    </xf>
    <xf numFmtId="44" fontId="0" fillId="0" borderId="1" xfId="2" applyFont="1" applyBorder="1" applyAlignment="1">
      <alignment horizontal="right" vertical="center"/>
    </xf>
    <xf numFmtId="44" fontId="0" fillId="0" borderId="1" xfId="2" applyFont="1" applyBorder="1" applyAlignment="1">
      <alignment vertical="center"/>
    </xf>
    <xf numFmtId="14" fontId="0" fillId="0" borderId="1" xfId="1" applyNumberFormat="1" applyFont="1" applyBorder="1" applyAlignment="1">
      <alignment horizontal="right" vertical="center"/>
    </xf>
    <xf numFmtId="14" fontId="0" fillId="0" borderId="1" xfId="1" applyNumberFormat="1" applyFont="1" applyFill="1" applyBorder="1" applyAlignment="1">
      <alignment vertical="center"/>
    </xf>
    <xf numFmtId="44" fontId="0" fillId="0" borderId="1" xfId="2" applyFont="1" applyFill="1" applyBorder="1" applyAlignment="1">
      <alignment vertical="center"/>
    </xf>
    <xf numFmtId="14" fontId="0" fillId="0" borderId="1" xfId="1" applyNumberFormat="1" applyFont="1" applyBorder="1" applyAlignment="1">
      <alignment vertical="center"/>
    </xf>
    <xf numFmtId="43" fontId="0" fillId="0" borderId="1" xfId="1" applyFont="1" applyBorder="1" applyAlignment="1">
      <alignment horizontal="right" vertical="center"/>
    </xf>
    <xf numFmtId="14" fontId="0" fillId="0" borderId="1" xfId="2" applyNumberFormat="1" applyFont="1" applyBorder="1" applyAlignment="1">
      <alignment vertical="center"/>
    </xf>
    <xf numFmtId="14" fontId="0" fillId="0" borderId="9" xfId="1" applyNumberFormat="1" applyFont="1" applyBorder="1" applyAlignment="1">
      <alignment vertical="center"/>
    </xf>
    <xf numFmtId="44" fontId="0" fillId="0" borderId="9" xfId="2" applyFont="1" applyBorder="1" applyAlignment="1">
      <alignment vertical="center"/>
    </xf>
    <xf numFmtId="14" fontId="0" fillId="0" borderId="9" xfId="0" applyNumberFormat="1" applyBorder="1" applyAlignment="1">
      <alignment vertical="center"/>
    </xf>
    <xf numFmtId="43" fontId="0" fillId="0" borderId="9" xfId="1" applyFont="1" applyBorder="1" applyAlignment="1">
      <alignment vertical="center"/>
    </xf>
    <xf numFmtId="44" fontId="0" fillId="0" borderId="10" xfId="2" applyFont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44" fontId="15" fillId="0" borderId="9" xfId="0" applyNumberFormat="1" applyFont="1" applyBorder="1" applyAlignment="1">
      <alignment vertical="center" wrapText="1"/>
    </xf>
    <xf numFmtId="44" fontId="15" fillId="0" borderId="10" xfId="0" applyNumberFormat="1" applyFont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5" borderId="19" xfId="0" applyFill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14" fontId="16" fillId="0" borderId="1" xfId="0" applyNumberFormat="1" applyFont="1" applyBorder="1" applyAlignment="1">
      <alignment vertical="center" wrapText="1"/>
    </xf>
    <xf numFmtId="44" fontId="16" fillId="0" borderId="1" xfId="2" applyFont="1" applyBorder="1" applyAlignment="1">
      <alignment vertical="center" wrapText="1"/>
    </xf>
    <xf numFmtId="14" fontId="16" fillId="0" borderId="1" xfId="1" applyNumberFormat="1" applyFont="1" applyBorder="1" applyAlignment="1">
      <alignment vertical="center"/>
    </xf>
    <xf numFmtId="44" fontId="3" fillId="0" borderId="1" xfId="2" applyFont="1" applyBorder="1" applyAlignment="1">
      <alignment vertical="center"/>
    </xf>
    <xf numFmtId="14" fontId="16" fillId="0" borderId="1" xfId="1" applyNumberFormat="1" applyFont="1" applyBorder="1" applyAlignment="1">
      <alignment horizontal="right" vertical="center"/>
    </xf>
    <xf numFmtId="0" fontId="16" fillId="0" borderId="0" xfId="0" applyFont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16" fillId="0" borderId="9" xfId="0" applyFont="1" applyBorder="1" applyAlignment="1">
      <alignment vertical="center" wrapText="1"/>
    </xf>
    <xf numFmtId="14" fontId="16" fillId="0" borderId="9" xfId="0" applyNumberFormat="1" applyFont="1" applyBorder="1" applyAlignment="1">
      <alignment vertical="center" wrapText="1"/>
    </xf>
    <xf numFmtId="14" fontId="3" fillId="0" borderId="9" xfId="0" applyNumberFormat="1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44" fontId="16" fillId="0" borderId="9" xfId="2" applyFont="1" applyBorder="1" applyAlignment="1">
      <alignment vertical="center" wrapText="1"/>
    </xf>
    <xf numFmtId="14" fontId="3" fillId="0" borderId="9" xfId="1" applyNumberFormat="1" applyFont="1" applyBorder="1" applyAlignment="1">
      <alignment vertical="center" wrapText="1"/>
    </xf>
    <xf numFmtId="44" fontId="3" fillId="0" borderId="9" xfId="2" applyFont="1" applyBorder="1" applyAlignment="1">
      <alignment vertical="center" wrapText="1"/>
    </xf>
    <xf numFmtId="43" fontId="3" fillId="0" borderId="9" xfId="1" applyFont="1" applyBorder="1" applyAlignment="1">
      <alignment vertical="center" wrapText="1"/>
    </xf>
    <xf numFmtId="14" fontId="3" fillId="0" borderId="1" xfId="1" applyNumberFormat="1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6" fillId="5" borderId="1" xfId="0" applyFont="1" applyFill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164" fontId="7" fillId="3" borderId="20" xfId="0" applyNumberFormat="1" applyFont="1" applyFill="1" applyBorder="1" applyAlignment="1">
      <alignment vertical="center"/>
    </xf>
    <xf numFmtId="164" fontId="7" fillId="3" borderId="6" xfId="0" applyNumberFormat="1" applyFont="1" applyFill="1" applyBorder="1" applyAlignment="1">
      <alignment vertical="center"/>
    </xf>
    <xf numFmtId="14" fontId="0" fillId="0" borderId="1" xfId="1" applyNumberFormat="1" applyFont="1" applyBorder="1" applyAlignment="1">
      <alignment horizontal="left" vertical="center"/>
    </xf>
    <xf numFmtId="0" fontId="16" fillId="0" borderId="8" xfId="0" applyFont="1" applyBorder="1" applyAlignment="1">
      <alignment vertical="center" wrapText="1"/>
    </xf>
    <xf numFmtId="44" fontId="16" fillId="0" borderId="9" xfId="0" applyNumberFormat="1" applyFont="1" applyBorder="1" applyAlignment="1">
      <alignment vertical="center" wrapText="1"/>
    </xf>
    <xf numFmtId="44" fontId="16" fillId="0" borderId="10" xfId="0" applyNumberFormat="1" applyFont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4" fontId="6" fillId="2" borderId="12" xfId="0" applyNumberFormat="1" applyFont="1" applyFill="1" applyBorder="1" applyAlignment="1">
      <alignment vertical="center" wrapText="1"/>
    </xf>
    <xf numFmtId="14" fontId="0" fillId="0" borderId="1" xfId="1" applyNumberFormat="1" applyFont="1" applyFill="1" applyBorder="1" applyAlignment="1">
      <alignment horizontal="right" vertical="center"/>
    </xf>
    <xf numFmtId="44" fontId="0" fillId="0" borderId="1" xfId="2" applyFont="1" applyFill="1" applyBorder="1" applyAlignment="1">
      <alignment horizontal="right" vertical="center"/>
    </xf>
    <xf numFmtId="0" fontId="0" fillId="0" borderId="0" xfId="1" applyNumberFormat="1" applyFont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17" fillId="0" borderId="8" xfId="0" applyFont="1" applyBorder="1" applyAlignment="1">
      <alignment vertical="center" wrapText="1"/>
    </xf>
    <xf numFmtId="0" fontId="17" fillId="0" borderId="9" xfId="0" applyFont="1" applyBorder="1" applyAlignment="1">
      <alignment vertical="center" wrapText="1"/>
    </xf>
    <xf numFmtId="14" fontId="17" fillId="0" borderId="9" xfId="0" applyNumberFormat="1" applyFont="1" applyBorder="1" applyAlignment="1">
      <alignment vertical="center" wrapText="1"/>
    </xf>
    <xf numFmtId="44" fontId="17" fillId="0" borderId="9" xfId="0" applyNumberFormat="1" applyFont="1" applyBorder="1" applyAlignment="1">
      <alignment vertical="center" wrapText="1"/>
    </xf>
    <xf numFmtId="14" fontId="17" fillId="0" borderId="1" xfId="0" applyNumberFormat="1" applyFont="1" applyBorder="1" applyAlignment="1">
      <alignment vertical="center" wrapText="1"/>
    </xf>
    <xf numFmtId="44" fontId="17" fillId="0" borderId="10" xfId="0" applyNumberFormat="1" applyFont="1" applyBorder="1" applyAlignment="1">
      <alignment vertical="center" wrapText="1"/>
    </xf>
    <xf numFmtId="14" fontId="6" fillId="0" borderId="1" xfId="0" applyNumberFormat="1" applyFont="1" applyBorder="1" applyAlignment="1">
      <alignment horizontal="right" vertical="center" wrapText="1"/>
    </xf>
    <xf numFmtId="14" fontId="0" fillId="0" borderId="1" xfId="0" applyNumberFormat="1" applyBorder="1" applyAlignment="1">
      <alignment horizontal="right" vertical="center" wrapText="1"/>
    </xf>
    <xf numFmtId="14" fontId="0" fillId="0" borderId="1" xfId="0" applyNumberFormat="1" applyBorder="1" applyAlignment="1">
      <alignment horizontal="left" vertical="center" wrapText="1"/>
    </xf>
    <xf numFmtId="0" fontId="6" fillId="5" borderId="1" xfId="0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44" fontId="3" fillId="0" borderId="0" xfId="2" applyFont="1" applyAlignment="1">
      <alignment vertical="center" wrapText="1"/>
    </xf>
    <xf numFmtId="44" fontId="0" fillId="0" borderId="1" xfId="2" applyFont="1" applyFill="1" applyBorder="1" applyAlignment="1">
      <alignment horizontal="left" vertical="center"/>
    </xf>
    <xf numFmtId="14" fontId="0" fillId="0" borderId="1" xfId="2" applyNumberFormat="1" applyFont="1" applyFill="1" applyBorder="1" applyAlignment="1">
      <alignment vertical="center"/>
    </xf>
    <xf numFmtId="164" fontId="7" fillId="3" borderId="1" xfId="0" applyNumberFormat="1" applyFont="1" applyFill="1" applyBorder="1" applyAlignment="1">
      <alignment horizontal="center" vertical="center" wrapText="1"/>
    </xf>
    <xf numFmtId="164" fontId="7" fillId="3" borderId="1" xfId="2" applyNumberFormat="1" applyFont="1" applyFill="1" applyBorder="1" applyAlignment="1">
      <alignment horizontal="center" vertical="center" wrapText="1"/>
    </xf>
    <xf numFmtId="164" fontId="7" fillId="3" borderId="2" xfId="0" applyNumberFormat="1" applyFont="1" applyFill="1" applyBorder="1" applyAlignment="1">
      <alignment horizontal="center" vertical="center" wrapText="1"/>
    </xf>
    <xf numFmtId="164" fontId="7" fillId="3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44" fontId="2" fillId="0" borderId="1" xfId="2" applyFont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left" vertical="center" wrapText="1"/>
    </xf>
    <xf numFmtId="164" fontId="7" fillId="3" borderId="1" xfId="2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3">
    <cellStyle name="Moeda" xfId="2" builtinId="4"/>
    <cellStyle name="Normal" xfId="0" builtinId="0"/>
    <cellStyle name="Vírgula" xfId="1" builtinId="3"/>
  </cellStyles>
  <dxfs count="7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/>
      </border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outline="0">
        <top style="hair">
          <color auto="1"/>
        </top>
      </border>
    </dxf>
    <dxf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vertical="center" textRotation="0" wrapText="1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outline="0">
        <top style="hair">
          <color auto="1"/>
        </top>
      </border>
    </dxf>
    <dxf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vertical="center" textRotation="0" wrapText="1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outline="0">
        <top style="hair">
          <color auto="1"/>
        </top>
      </border>
    </dxf>
    <dxf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vertical="center" textRotation="0" wrapText="1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outline="0">
        <top style="hair">
          <color auto="1"/>
        </top>
      </border>
    </dxf>
    <dxf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vertical="center" textRotation="0" wrapText="1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outline="0">
        <top style="hair">
          <color auto="1"/>
        </top>
      </border>
    </dxf>
    <dxf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vertical="center" textRotation="0" wrapText="1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outline="0">
        <top style="hair">
          <color auto="1"/>
        </top>
      </border>
    </dxf>
    <dxf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vertical="center" textRotation="0" wrapText="1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outline="0">
        <top style="hair">
          <color auto="1"/>
        </top>
      </border>
    </dxf>
    <dxf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vertical="center" textRotation="0" wrapText="1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outline="0">
        <top style="hair">
          <color auto="1"/>
        </top>
      </border>
    </dxf>
    <dxf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vertical="center" textRotation="0" wrapText="1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numFmt numFmtId="19" formatCode="dd/mm/yyyy"/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outline="0">
        <top style="hair">
          <color auto="1"/>
        </top>
      </border>
    </dxf>
    <dxf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vertical="center" textRotation="0" wrapText="1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vertical="center" textRotation="0" wrapText="1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hair">
          <color auto="1"/>
        </bottom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alignment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outline="0">
        <top style="hair">
          <color auto="1"/>
        </top>
      </border>
    </dxf>
    <dxf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vertical="center" textRotation="0" wrapText="1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tecnica" refreshedDate="44614.672590972223" backgroundQuery="1" createdVersion="5" refreshedVersion="5" minRefreshableVersion="3" recordCount="0" supportSubquery="1" supportAdvancedDrill="1" xr:uid="{00000000-000A-0000-FFFF-FFFF00000000}">
  <cacheSource type="external" connectionId="1"/>
  <cacheFields count="11">
    <cacheField name="[Tabela145].[Empresa].[Empresa]" caption="Empresa" numFmtId="0" level="1">
      <sharedItems count="22">
        <s v="ACF"/>
        <s v="Aguiar construções"/>
        <s v="Binário"/>
        <s v="Cemig"/>
        <s v="Cemig Telecom"/>
        <s v="Copasa"/>
        <s v="Focus"/>
        <s v="Gasmig"/>
        <s v="Gérance"/>
        <s v="Mandic Cloud"/>
        <s v="Montele"/>
        <s v="Ms geradores"/>
        <s v="Myr"/>
        <s v="Net TV e virtua"/>
        <s v="Net Virtua 240 Mb"/>
        <s v="Net vírtua e fone"/>
        <s v="Otis"/>
        <s v="Ricardo caçambas"/>
        <s v="Simem"/>
        <s v="Supra informática"/>
        <s v="TJ ar condionado"/>
        <s v="Vivo telefônica 50 Mb"/>
      </sharedItems>
    </cacheField>
    <cacheField name="[Measures].[Contagem de Valor3]" caption="Contagem de Valor3" numFmtId="0" hierarchy="34" level="32767"/>
    <cacheField name="[Measures].[Contagem de Valor4]" caption="Contagem de Valor4" numFmtId="0" hierarchy="35" level="32767"/>
    <cacheField name="[Measures].[Contagem de Valor5]" caption="Contagem de Valor5" numFmtId="0" hierarchy="36" level="32767"/>
    <cacheField name="[Measures].[Contagem de Valor6]" caption="Contagem de Valor6" numFmtId="0" hierarchy="37" level="32767"/>
    <cacheField name="[Measures].[Contagem de Valor7]" caption="Contagem de Valor7" numFmtId="0" hierarchy="38" level="32767"/>
    <cacheField name="[Measures].[Contagem de Valor8]" caption="Contagem de Valor8" numFmtId="0" hierarchy="39" level="32767"/>
    <cacheField name="[Measures].[Contagem de Valor9]" caption="Contagem de Valor9" numFmtId="0" hierarchy="40" level="32767"/>
    <cacheField name="[Measures].[Contagem de Valor10]" caption="Contagem de Valor10" numFmtId="0" hierarchy="41" level="32767"/>
    <cacheField name="[Measures].[Contagem de Valor11]" caption="Contagem de Valor11" numFmtId="0" hierarchy="42" level="32767"/>
    <cacheField name="[Measures].[Contagem de Valor12]" caption="Contagem de Valor12" numFmtId="0" hierarchy="43" level="32767"/>
  </cacheFields>
  <cacheHierarchies count="46">
    <cacheHierarchy uniqueName="[Tabela145].[Empresa]" caption="Empresa" attribute="1" defaultMemberUniqueName="[Tabela145].[Empresa].[All]" allUniqueName="[Tabela145].[Empresa].[All]" dimensionUniqueName="[Tabela145]" displayFolder="" count="2" memberValueDatatype="130" unbalanced="0">
      <fieldsUsage count="2">
        <fieldUsage x="-1"/>
        <fieldUsage x="0"/>
      </fieldsUsage>
    </cacheHierarchy>
    <cacheHierarchy uniqueName="[Tabela145].[Tipo do serviço prestado (contratado)]" caption="Tipo do serviço prestado (contratado)" attribute="1" defaultMemberUniqueName="[Tabela145].[Tipo do serviço prestado (contratado)].[All]" allUniqueName="[Tabela145].[Tipo do serviço prestado (contratado)].[All]" dimensionUniqueName="[Tabela145]" displayFolder="" count="0" memberValueDatatype="130" unbalanced="0"/>
    <cacheHierarchy uniqueName="[Tabela145].[Data de assinatura]" caption="Data de assinatura" attribute="1" defaultMemberUniqueName="[Tabela145].[Data de assinatura].[All]" allUniqueName="[Tabela145].[Data de assinatura].[All]" dimensionUniqueName="[Tabela145]" displayFolder="" count="0" memberValueDatatype="130" unbalanced="0"/>
    <cacheHierarchy uniqueName="[Tabela145].[Vigência]" caption="Vigência" attribute="1" defaultMemberUniqueName="[Tabela145].[Vigência].[All]" allUniqueName="[Tabela145].[Vigência].[All]" dimensionUniqueName="[Tabela145]" displayFolder="" count="0" memberValueDatatype="130" unbalanced="0"/>
    <cacheHierarchy uniqueName="[Tabela145].[Renovação]" caption="Renovação" attribute="1" defaultMemberUniqueName="[Tabela145].[Renovação].[All]" allUniqueName="[Tabela145].[Renovação].[All]" dimensionUniqueName="[Tabela145]" displayFolder="" count="0" memberValueDatatype="130" unbalanced="0"/>
    <cacheHierarchy uniqueName="[Tabela145].[Denúncia de cancelamento]" caption="Denúncia de cancelamento" attribute="1" defaultMemberUniqueName="[Tabela145].[Denúncia de cancelamento].[All]" allUniqueName="[Tabela145].[Denúncia de cancelamento].[All]" dimensionUniqueName="[Tabela145]" displayFolder="" count="0" memberValueDatatype="130" unbalanced="0"/>
    <cacheHierarchy uniqueName="[Tabela145].[Valor atual]" caption="Valor atual" attribute="1" defaultMemberUniqueName="[Tabela145].[Valor atual].[All]" allUniqueName="[Tabela145].[Valor atual].[All]" dimensionUniqueName="[Tabela145]" displayFolder="" count="0" memberValueDatatype="130" unbalanced="0"/>
    <cacheHierarchy uniqueName="[Tabela145].[Pagamento]" caption="Pagamento" attribute="1" defaultMemberUniqueName="[Tabela145].[Pagamento].[All]" allUniqueName="[Tabela145].[Pagamento].[All]" dimensionUniqueName="[Tabela145]" displayFolder="" count="0" memberValueDatatype="130" unbalanced="0"/>
    <cacheHierarchy uniqueName="[Tabela145].[Responsável]" caption="Responsável" attribute="1" defaultMemberUniqueName="[Tabela145].[Responsável].[All]" allUniqueName="[Tabela145].[Responsável].[All]" dimensionUniqueName="[Tabela145]" displayFolder="" count="0" memberValueDatatype="130" unbalanced="0"/>
    <cacheHierarchy uniqueName="[Tabela145].[OBS]" caption="OBS" attribute="1" defaultMemberUniqueName="[Tabela145].[OBS].[All]" allUniqueName="[Tabela145].[OBS].[All]" dimensionUniqueName="[Tabela145]" displayFolder="" count="0" memberValueDatatype="130" unbalanced="0"/>
    <cacheHierarchy uniqueName="[Tabela145].[Data2]" caption="Data2" attribute="1" defaultMemberUniqueName="[Tabela145].[Data2].[All]" allUniqueName="[Tabela145].[Data2].[All]" dimensionUniqueName="[Tabela145]" displayFolder="" count="0" memberValueDatatype="130" unbalanced="0"/>
    <cacheHierarchy uniqueName="[Tabela145].[Valor3]" caption="Valor3" attribute="1" defaultMemberUniqueName="[Tabela145].[Valor3].[All]" allUniqueName="[Tabela145].[Valor3].[All]" dimensionUniqueName="[Tabela145]" displayFolder="" count="0" memberValueDatatype="130" unbalanced="0"/>
    <cacheHierarchy uniqueName="[Tabela145].[Data3]" caption="Data3" attribute="1" defaultMemberUniqueName="[Tabela145].[Data3].[All]" allUniqueName="[Tabela145].[Data3].[All]" dimensionUniqueName="[Tabela145]" displayFolder="" count="0" memberValueDatatype="130" unbalanced="0"/>
    <cacheHierarchy uniqueName="[Tabela145].[Valor4]" caption="Valor4" attribute="1" defaultMemberUniqueName="[Tabela145].[Valor4].[All]" allUniqueName="[Tabela145].[Valor4].[All]" dimensionUniqueName="[Tabela145]" displayFolder="" count="0" memberValueDatatype="130" unbalanced="0"/>
    <cacheHierarchy uniqueName="[Tabela145].[Data4]" caption="Data4" attribute="1" defaultMemberUniqueName="[Tabela145].[Data4].[All]" allUniqueName="[Tabela145].[Data4].[All]" dimensionUniqueName="[Tabela145]" displayFolder="" count="0" memberValueDatatype="130" unbalanced="0"/>
    <cacheHierarchy uniqueName="[Tabela145].[Valor5]" caption="Valor5" attribute="1" defaultMemberUniqueName="[Tabela145].[Valor5].[All]" allUniqueName="[Tabela145].[Valor5].[All]" dimensionUniqueName="[Tabela145]" displayFolder="" count="0" memberValueDatatype="130" unbalanced="0"/>
    <cacheHierarchy uniqueName="[Tabela145].[Data5]" caption="Data5" attribute="1" defaultMemberUniqueName="[Tabela145].[Data5].[All]" allUniqueName="[Tabela145].[Data5].[All]" dimensionUniqueName="[Tabela145]" displayFolder="" count="0" memberValueDatatype="130" unbalanced="0"/>
    <cacheHierarchy uniqueName="[Tabela145].[Valor6]" caption="Valor6" attribute="1" defaultMemberUniqueName="[Tabela145].[Valor6].[All]" allUniqueName="[Tabela145].[Valor6].[All]" dimensionUniqueName="[Tabela145]" displayFolder="" count="0" memberValueDatatype="130" unbalanced="0"/>
    <cacheHierarchy uniqueName="[Tabela145].[Data6]" caption="Data6" attribute="1" defaultMemberUniqueName="[Tabela145].[Data6].[All]" allUniqueName="[Tabela145].[Data6].[All]" dimensionUniqueName="[Tabela145]" displayFolder="" count="0" memberValueDatatype="130" unbalanced="0"/>
    <cacheHierarchy uniqueName="[Tabela145].[Valor7]" caption="Valor7" attribute="1" defaultMemberUniqueName="[Tabela145].[Valor7].[All]" allUniqueName="[Tabela145].[Valor7].[All]" dimensionUniqueName="[Tabela145]" displayFolder="" count="0" memberValueDatatype="130" unbalanced="0"/>
    <cacheHierarchy uniqueName="[Tabela145].[Data7]" caption="Data7" attribute="1" defaultMemberUniqueName="[Tabela145].[Data7].[All]" allUniqueName="[Tabela145].[Data7].[All]" dimensionUniqueName="[Tabela145]" displayFolder="" count="0" memberValueDatatype="130" unbalanced="0"/>
    <cacheHierarchy uniqueName="[Tabela145].[Valor8]" caption="Valor8" attribute="1" defaultMemberUniqueName="[Tabela145].[Valor8].[All]" allUniqueName="[Tabela145].[Valor8].[All]" dimensionUniqueName="[Tabela145]" displayFolder="" count="0" memberValueDatatype="130" unbalanced="0"/>
    <cacheHierarchy uniqueName="[Tabela145].[Data8]" caption="Data8" attribute="1" defaultMemberUniqueName="[Tabela145].[Data8].[All]" allUniqueName="[Tabela145].[Data8].[All]" dimensionUniqueName="[Tabela145]" displayFolder="" count="0" memberValueDatatype="130" unbalanced="0"/>
    <cacheHierarchy uniqueName="[Tabela145].[Valor9]" caption="Valor9" attribute="1" defaultMemberUniqueName="[Tabela145].[Valor9].[All]" allUniqueName="[Tabela145].[Valor9].[All]" dimensionUniqueName="[Tabela145]" displayFolder="" count="0" memberValueDatatype="130" unbalanced="0"/>
    <cacheHierarchy uniqueName="[Tabela145].[Data9]" caption="Data9" attribute="1" defaultMemberUniqueName="[Tabela145].[Data9].[All]" allUniqueName="[Tabela145].[Data9].[All]" dimensionUniqueName="[Tabela145]" displayFolder="" count="0" memberValueDatatype="130" unbalanced="0"/>
    <cacheHierarchy uniqueName="[Tabela145].[Valor10]" caption="Valor10" attribute="1" defaultMemberUniqueName="[Tabela145].[Valor10].[All]" allUniqueName="[Tabela145].[Valor10].[All]" dimensionUniqueName="[Tabela145]" displayFolder="" count="0" memberValueDatatype="130" unbalanced="0"/>
    <cacheHierarchy uniqueName="[Tabela145].[Data10]" caption="Data10" attribute="1" time="1" defaultMemberUniqueName="[Tabela145].[Data10].[All]" allUniqueName="[Tabela145].[Data10].[All]" dimensionUniqueName="[Tabela145]" displayFolder="" count="0" memberValueDatatype="7" unbalanced="0"/>
    <cacheHierarchy uniqueName="[Tabela145].[Valor11]" caption="Valor11" attribute="1" defaultMemberUniqueName="[Tabela145].[Valor11].[All]" allUniqueName="[Tabela145].[Valor11].[All]" dimensionUniqueName="[Tabela145]" displayFolder="" count="0" memberValueDatatype="130" unbalanced="0"/>
    <cacheHierarchy uniqueName="[Tabela145].[Data11]" caption="Data11" attribute="1" time="1" defaultMemberUniqueName="[Tabela145].[Data11].[All]" allUniqueName="[Tabela145].[Data11].[All]" dimensionUniqueName="[Tabela145]" displayFolder="" count="0" memberValueDatatype="7" unbalanced="0"/>
    <cacheHierarchy uniqueName="[Tabela145].[Valor12]" caption="Valor12" attribute="1" defaultMemberUniqueName="[Tabela145].[Valor12].[All]" allUniqueName="[Tabela145].[Valor12].[All]" dimensionUniqueName="[Tabela145]" displayFolder="" count="2" memberValueDatatype="130" unbalanced="0"/>
    <cacheHierarchy uniqueName="[Tabela145].[Data12]" caption="Data12" attribute="1" time="1" defaultMemberUniqueName="[Tabela145].[Data12].[All]" allUniqueName="[Tabela145].[Data12].[All]" dimensionUniqueName="[Tabela145]" displayFolder="" count="0" memberValueDatatype="7" unbalanced="0"/>
    <cacheHierarchy uniqueName="[Tabela145].[Valor14]" caption="Valor14" attribute="1" defaultMemberUniqueName="[Tabela145].[Valor14].[All]" allUniqueName="[Tabela145].[Valor14].[All]" dimensionUniqueName="[Tabela145]" displayFolder="" count="0" memberValueDatatype="130" unbalanced="0"/>
    <cacheHierarchy uniqueName="[Tabela145].[Data13]" caption="Data13" attribute="1" time="1" defaultMemberUniqueName="[Tabela145].[Data13].[All]" allUniqueName="[Tabela145].[Data13].[All]" dimensionUniqueName="[Tabela145]" displayFolder="" count="0" memberValueDatatype="7" unbalanced="0"/>
    <cacheHierarchy uniqueName="[Tabela145].[Valor2]" caption="Valor2" attribute="1" defaultMemberUniqueName="[Tabela145].[Valor2].[All]" allUniqueName="[Tabela145].[Valor2].[All]" dimensionUniqueName="[Tabela145]" displayFolder="" count="0" memberValueDatatype="130" unbalanced="0"/>
    <cacheHierarchy uniqueName="[Measures].[Contagem de Valor3]" caption="Contagem de Valor3" measure="1" displayFolder="" measureGroup="Tabela145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ntagem de Valor4]" caption="Contagem de Valor4" measure="1" displayFolder="" measureGroup="Tabela145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agem de Valor5]" caption="Contagem de Valor5" measure="1" displayFolder="" measureGroup="Tabela145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Valor6]" caption="Contagem de Valor6" measure="1" displayFolder="" measureGroup="Tabela145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ntagem de Valor7]" caption="Contagem de Valor7" measure="1" displayFolder="" measureGroup="Tabela145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ntagem de Valor8]" caption="Contagem de Valor8" measure="1" displayFolder="" measureGroup="Tabela145" count="0" oneField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Valor9]" caption="Contagem de Valor9" measure="1" displayFolder="" measureGroup="Tabela145" count="0" oneField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ntagem de Valor10]" caption="Contagem de Valor10" measure="1" displayFolder="" measureGroup="Tabela145" count="0" oneField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ntagem de Valor11]" caption="Contagem de Valor11" measure="1" displayFolder="" measureGroup="Tabela145" count="0" oneField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agem de Valor12]" caption="Contagem de Valor12" measure="1" displayFolder="" measureGroup="Tabela145" count="0" oneField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__XL_Count Tabela145]" caption="__XL_Count Tabela145" measure="1" displayFolder="" measureGroup="Tabela145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Tabela145" uniqueName="[Tabela145]" caption="Tabela145"/>
  </dimensions>
  <measureGroups count="1">
    <measureGroup name="Tabela145" caption="Tabela145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1:K24" firstHeaderRow="0" firstDataRow="1" firstDataCol="1"/>
  <pivotFields count="11">
    <pivotField axis="axisRow" allDrilled="1" showAll="0" dataSourceSort="1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Contagem de Valor3" fld="1" subtotal="count" baseField="0" baseItem="0"/>
    <dataField name="Contagem de Valor4" fld="2" subtotal="count" baseField="0" baseItem="0"/>
    <dataField name="Contagem de Valor5" fld="3" subtotal="count" baseField="0" baseItem="0"/>
    <dataField name="Contagem de Valor6" fld="4" subtotal="count" baseField="0" baseItem="0"/>
    <dataField name="Contagem de Valor7" fld="5" subtotal="count" baseField="0" baseItem="0"/>
    <dataField name="Contagem de Valor8" fld="6" subtotal="count" baseField="0" baseItem="0"/>
    <dataField name="Contagem de Valor9" fld="7" subtotal="count" baseField="0" baseItem="0"/>
    <dataField name="Contagem de Valor10" fld="8" subtotal="count" baseField="0" baseItem="0"/>
    <dataField name="Contagem de Valor11" fld="9" subtotal="count" baseField="0" baseItem="0"/>
    <dataField name="Contagem de Valor12" fld="10" subtotal="count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ntrole de Relação de contratos.xlsx!Tabela145">
        <x15:activeTabTopLevelEntity name="[Tabela145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2:I39" totalsRowShown="0" headerRowDxfId="717" dataDxfId="716" tableBorderDxfId="715">
  <autoFilter ref="A2:I39" xr:uid="{00000000-0009-0000-0100-000002000000}"/>
  <tableColumns count="9">
    <tableColumn id="1" xr3:uid="{00000000-0010-0000-0000-000001000000}" name="Colunas1" dataDxfId="714"/>
    <tableColumn id="2" xr3:uid="{00000000-0010-0000-0000-000002000000}" name="Colunas2" dataDxfId="713"/>
    <tableColumn id="3" xr3:uid="{00000000-0010-0000-0000-000003000000}" name="Colunas3" dataDxfId="712"/>
    <tableColumn id="4" xr3:uid="{00000000-0010-0000-0000-000004000000}" name="Colunas4" dataDxfId="711"/>
    <tableColumn id="5" xr3:uid="{00000000-0010-0000-0000-000005000000}" name="Colunas5" dataDxfId="710"/>
    <tableColumn id="6" xr3:uid="{00000000-0010-0000-0000-000006000000}" name="Colunas6" dataDxfId="709" dataCellStyle="Moeda"/>
    <tableColumn id="7" xr3:uid="{00000000-0010-0000-0000-000007000000}" name="Colunas7" dataDxfId="708"/>
    <tableColumn id="9" xr3:uid="{00000000-0010-0000-0000-000009000000}" name="Colunas9" dataDxfId="707"/>
    <tableColumn id="8" xr3:uid="{00000000-0010-0000-0000-000008000000}" name="Colunas10" dataDxfId="70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a1" displayName="Tabela1" ref="A3:J37" totalsRowShown="0" headerRowDxfId="705" dataDxfId="703" headerRowBorderDxfId="704" tableBorderDxfId="702" totalsRowBorderDxfId="701">
  <autoFilter ref="A3:J37" xr:uid="{00000000-0009-0000-0100-000001000000}"/>
  <tableColumns count="10">
    <tableColumn id="1" xr3:uid="{00000000-0010-0000-0100-000001000000}" name="Empresa" dataDxfId="700"/>
    <tableColumn id="2" xr3:uid="{00000000-0010-0000-0100-000002000000}" name="Tipo do serviço prestado (contratado)" dataDxfId="699"/>
    <tableColumn id="3" xr3:uid="{00000000-0010-0000-0100-000003000000}" name="Data de assinatura" dataDxfId="698"/>
    <tableColumn id="4" xr3:uid="{00000000-0010-0000-0100-000004000000}" name="Vigência" dataDxfId="697"/>
    <tableColumn id="5" xr3:uid="{00000000-0010-0000-0100-000005000000}" name="Renovação" dataDxfId="696"/>
    <tableColumn id="6" xr3:uid="{00000000-0010-0000-0100-000006000000}" name="Denúncia de cancelamento" dataDxfId="695"/>
    <tableColumn id="7" xr3:uid="{00000000-0010-0000-0100-000007000000}" name="Valor atual" dataDxfId="694" dataCellStyle="Moeda"/>
    <tableColumn id="8" xr3:uid="{00000000-0010-0000-0100-000008000000}" name="Pagamento" dataDxfId="693" dataCellStyle="Moeda"/>
    <tableColumn id="9" xr3:uid="{00000000-0010-0000-0100-000009000000}" name="Responsável" dataDxfId="692"/>
    <tableColumn id="10" xr3:uid="{00000000-0010-0000-0100-00000A000000}" name="OBS" dataDxfId="69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14" displayName="Tabela14" ref="A3:L35" totalsRowCount="1" headerRowDxfId="690" dataDxfId="688" headerRowBorderDxfId="689" tableBorderDxfId="687" totalsRowBorderDxfId="686">
  <autoFilter ref="A3:L34" xr:uid="{00000000-0009-0000-0100-000003000000}">
    <filterColumn colId="8">
      <filters>
        <filter val="Esdras"/>
      </filters>
    </filterColumn>
  </autoFilter>
  <tableColumns count="12">
    <tableColumn id="1" xr3:uid="{00000000-0010-0000-0200-000001000000}" name="Empresa" totalsRowLabel="Total" dataDxfId="685" totalsRowDxfId="684"/>
    <tableColumn id="2" xr3:uid="{00000000-0010-0000-0200-000002000000}" name="Tipo do serviço prestado (contratado)" dataDxfId="683" totalsRowDxfId="682"/>
    <tableColumn id="3" xr3:uid="{00000000-0010-0000-0200-000003000000}" name="Data de assinatura" dataDxfId="681" totalsRowDxfId="680"/>
    <tableColumn id="4" xr3:uid="{00000000-0010-0000-0200-000004000000}" name="Vigência" dataDxfId="679" totalsRowDxfId="678"/>
    <tableColumn id="5" xr3:uid="{00000000-0010-0000-0200-000005000000}" name="Renovação" dataDxfId="677" totalsRowDxfId="676"/>
    <tableColumn id="6" xr3:uid="{00000000-0010-0000-0200-000006000000}" name="Denúncia de cancelamento" dataDxfId="675" totalsRowDxfId="674"/>
    <tableColumn id="7" xr3:uid="{00000000-0010-0000-0200-000007000000}" name="Valor atual" dataDxfId="673" totalsRowDxfId="672" dataCellStyle="Moeda"/>
    <tableColumn id="8" xr3:uid="{00000000-0010-0000-0200-000008000000}" name="Pagamento" dataDxfId="671" totalsRowDxfId="670" dataCellStyle="Moeda"/>
    <tableColumn id="9" xr3:uid="{00000000-0010-0000-0200-000009000000}" name="Responsável" dataDxfId="669" totalsRowDxfId="668"/>
    <tableColumn id="10" xr3:uid="{00000000-0010-0000-0200-00000A000000}" name="OBS" dataDxfId="667" totalsRowDxfId="666"/>
    <tableColumn id="11" xr3:uid="{00000000-0010-0000-0200-00000B000000}" name="Data" dataDxfId="665" totalsRowDxfId="664"/>
    <tableColumn id="24" xr3:uid="{00000000-0010-0000-0200-000018000000}" name="Valor" totalsRowFunction="sum" dataDxfId="663" totalsRowDxfId="662" dataCellStyle="Moed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145" displayName="Tabela145" ref="A3:AH39" totalsRowCount="1" headerRowDxfId="661" dataDxfId="659" headerRowBorderDxfId="660" tableBorderDxfId="658" totalsRowBorderDxfId="657">
  <autoFilter ref="A3:AH38" xr:uid="{00000000-0009-0000-0100-000004000000}">
    <filterColumn colId="8">
      <filters>
        <filter val="Esdras"/>
      </filters>
    </filterColumn>
  </autoFilter>
  <tableColumns count="34">
    <tableColumn id="1" xr3:uid="{00000000-0010-0000-0300-000001000000}" name="Empresa" totalsRowLabel="Total" dataDxfId="656" totalsRowDxfId="655"/>
    <tableColumn id="2" xr3:uid="{00000000-0010-0000-0300-000002000000}" name="Tipo do serviço prestado (contratado)" dataDxfId="654" totalsRowDxfId="653"/>
    <tableColumn id="3" xr3:uid="{00000000-0010-0000-0300-000003000000}" name="Data de assinatura" dataDxfId="652" totalsRowDxfId="651"/>
    <tableColumn id="4" xr3:uid="{00000000-0010-0000-0300-000004000000}" name="Vigência" dataDxfId="650" totalsRowDxfId="649"/>
    <tableColumn id="5" xr3:uid="{00000000-0010-0000-0300-000005000000}" name="Renovação" dataDxfId="648" totalsRowDxfId="647"/>
    <tableColumn id="6" xr3:uid="{00000000-0010-0000-0300-000006000000}" name="Denúncia de cancelamento" dataDxfId="646" totalsRowDxfId="645"/>
    <tableColumn id="7" xr3:uid="{00000000-0010-0000-0300-000007000000}" name="Valor atual" dataDxfId="644" totalsRowDxfId="643" dataCellStyle="Moeda"/>
    <tableColumn id="8" xr3:uid="{00000000-0010-0000-0300-000008000000}" name="Pagamento" dataDxfId="642" totalsRowDxfId="641" dataCellStyle="Moeda"/>
    <tableColumn id="9" xr3:uid="{00000000-0010-0000-0300-000009000000}" name="Responsável" dataDxfId="640" totalsRowDxfId="639"/>
    <tableColumn id="10" xr3:uid="{00000000-0010-0000-0300-00000A000000}" name="OBS" dataDxfId="638" totalsRowDxfId="637"/>
    <tableColumn id="12" xr3:uid="{00000000-0010-0000-0300-00000C000000}" name="Data2" dataDxfId="636" totalsRowDxfId="635"/>
    <tableColumn id="25" xr3:uid="{00000000-0010-0000-0300-000019000000}" name="Valor3" totalsRowFunction="sum" dataDxfId="634" totalsRowDxfId="633" dataCellStyle="Moeda"/>
    <tableColumn id="13" xr3:uid="{00000000-0010-0000-0300-00000D000000}" name="Data3" dataDxfId="632" totalsRowDxfId="631"/>
    <tableColumn id="26" xr3:uid="{00000000-0010-0000-0300-00001A000000}" name="Valor4" totalsRowFunction="sum" dataDxfId="630" totalsRowDxfId="629" dataCellStyle="Moeda"/>
    <tableColumn id="14" xr3:uid="{00000000-0010-0000-0300-00000E000000}" name="Data4" dataDxfId="628" totalsRowDxfId="627"/>
    <tableColumn id="27" xr3:uid="{00000000-0010-0000-0300-00001B000000}" name="Valor5" totalsRowFunction="sum" dataDxfId="626" totalsRowDxfId="625" dataCellStyle="Moeda"/>
    <tableColumn id="15" xr3:uid="{00000000-0010-0000-0300-00000F000000}" name="Data5" dataDxfId="624" totalsRowDxfId="623"/>
    <tableColumn id="28" xr3:uid="{00000000-0010-0000-0300-00001C000000}" name="Valor6" totalsRowFunction="sum" dataDxfId="622" totalsRowDxfId="621" dataCellStyle="Moeda"/>
    <tableColumn id="16" xr3:uid="{00000000-0010-0000-0300-000010000000}" name="Data6" dataDxfId="620" totalsRowDxfId="619"/>
    <tableColumn id="29" xr3:uid="{00000000-0010-0000-0300-00001D000000}" name="Valor7" totalsRowFunction="sum" dataDxfId="618" totalsRowDxfId="617" dataCellStyle="Moeda"/>
    <tableColumn id="17" xr3:uid="{00000000-0010-0000-0300-000011000000}" name="Data7" dataDxfId="616" totalsRowDxfId="615"/>
    <tableColumn id="30" xr3:uid="{00000000-0010-0000-0300-00001E000000}" name="Valor8" totalsRowFunction="sum" dataDxfId="614" totalsRowDxfId="613" dataCellStyle="Moeda"/>
    <tableColumn id="18" xr3:uid="{00000000-0010-0000-0300-000012000000}" name="Data8" dataDxfId="612" totalsRowDxfId="611"/>
    <tableColumn id="31" xr3:uid="{00000000-0010-0000-0300-00001F000000}" name="Valor9" totalsRowFunction="sum" dataDxfId="610" totalsRowDxfId="609" dataCellStyle="Moeda"/>
    <tableColumn id="19" xr3:uid="{00000000-0010-0000-0300-000013000000}" name="Data9" dataDxfId="608" totalsRowDxfId="607"/>
    <tableColumn id="32" xr3:uid="{00000000-0010-0000-0300-000020000000}" name="Valor10" totalsRowFunction="sum" dataDxfId="606" totalsRowDxfId="605" dataCellStyle="Moeda"/>
    <tableColumn id="20" xr3:uid="{00000000-0010-0000-0300-000014000000}" name="Data10" dataDxfId="604" totalsRowDxfId="603"/>
    <tableColumn id="33" xr3:uid="{00000000-0010-0000-0300-000021000000}" name="Valor11" totalsRowFunction="sum" dataDxfId="602" totalsRowDxfId="601" dataCellStyle="Moeda"/>
    <tableColumn id="21" xr3:uid="{00000000-0010-0000-0300-000015000000}" name="Data11" dataDxfId="600" totalsRowDxfId="599"/>
    <tableColumn id="34" xr3:uid="{00000000-0010-0000-0300-000022000000}" name="Valor12" totalsRowFunction="sum" dataDxfId="598" totalsRowDxfId="597" dataCellStyle="Moeda"/>
    <tableColumn id="22" xr3:uid="{00000000-0010-0000-0300-000016000000}" name="Data12" dataDxfId="596" totalsRowDxfId="595"/>
    <tableColumn id="35" xr3:uid="{00000000-0010-0000-0300-000023000000}" name="Valor14" totalsRowFunction="sum" dataDxfId="594" totalsRowDxfId="593" dataCellStyle="Moeda"/>
    <tableColumn id="23" xr3:uid="{00000000-0010-0000-0300-000017000000}" name="Data13" dataDxfId="592" totalsRowDxfId="591"/>
    <tableColumn id="36" xr3:uid="{00000000-0010-0000-0300-000024000000}" name="Valor2" totalsRowFunction="sum" dataDxfId="590" totalsRowDxfId="589" dataCellStyle="Moed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1456" displayName="Tabela1456" ref="A3:AJ62" totalsRowCount="1" headerRowDxfId="588" dataDxfId="586" headerRowBorderDxfId="587" tableBorderDxfId="585" totalsRowBorderDxfId="584">
  <autoFilter ref="A3:AJ61" xr:uid="{00000000-0009-0000-0100-000005000000}">
    <filterColumn colId="10">
      <filters>
        <filter val="Esdras"/>
      </filters>
    </filterColumn>
  </autoFilter>
  <tableColumns count="36">
    <tableColumn id="1" xr3:uid="{00000000-0010-0000-0400-000001000000}" name="Empresa" totalsRowLabel="Total" dataDxfId="583" totalsRowDxfId="582"/>
    <tableColumn id="2" xr3:uid="{00000000-0010-0000-0400-000002000000}" name="Tipo do serviço prestado (contratado)" dataDxfId="581" totalsRowDxfId="580"/>
    <tableColumn id="3" xr3:uid="{00000000-0010-0000-0400-000003000000}" name="Data de assinatura" dataDxfId="579" totalsRowDxfId="578"/>
    <tableColumn id="24" xr3:uid="{00000000-0010-0000-0400-000018000000}" name="Último aditivo" dataDxfId="577" totalsRowDxfId="576"/>
    <tableColumn id="4" xr3:uid="{00000000-0010-0000-0400-000004000000}" name="Vigência" dataDxfId="575" totalsRowDxfId="574"/>
    <tableColumn id="5" xr3:uid="{00000000-0010-0000-0400-000005000000}" name="Renovação" dataDxfId="573" totalsRowDxfId="572"/>
    <tableColumn id="6" xr3:uid="{00000000-0010-0000-0400-000006000000}" name="Denúncia de cancelamento" dataDxfId="571" totalsRowDxfId="570"/>
    <tableColumn id="7" xr3:uid="{00000000-0010-0000-0400-000007000000}" name="Valor atual" dataDxfId="569" totalsRowDxfId="568" dataCellStyle="Moeda"/>
    <tableColumn id="8" xr3:uid="{00000000-0010-0000-0400-000008000000}" name="Pagamento" dataDxfId="567" totalsRowDxfId="566" dataCellStyle="Moeda"/>
    <tableColumn id="11" xr3:uid="{00000000-0010-0000-0400-00000B000000}" name="Contato" dataDxfId="565" totalsRowDxfId="564" dataCellStyle="Moeda"/>
    <tableColumn id="9" xr3:uid="{00000000-0010-0000-0400-000009000000}" name="Responsável" dataDxfId="563" totalsRowDxfId="562"/>
    <tableColumn id="10" xr3:uid="{00000000-0010-0000-0400-00000A000000}" name="OBS" dataDxfId="561" totalsRowDxfId="560"/>
    <tableColumn id="12" xr3:uid="{00000000-0010-0000-0400-00000C000000}" name="Data2" dataDxfId="559" totalsRowDxfId="558"/>
    <tableColumn id="25" xr3:uid="{00000000-0010-0000-0400-000019000000}" name="Valor3" totalsRowFunction="custom" dataDxfId="557" totalsRowDxfId="556" dataCellStyle="Moeda">
      <totalsRowFormula>SUBTOTAL(9,N5:N61)</totalsRowFormula>
    </tableColumn>
    <tableColumn id="13" xr3:uid="{00000000-0010-0000-0400-00000D000000}" name="Data3" dataDxfId="555" totalsRowDxfId="554"/>
    <tableColumn id="26" xr3:uid="{00000000-0010-0000-0400-00001A000000}" name="Valor4" totalsRowFunction="custom" dataDxfId="553" totalsRowDxfId="552" dataCellStyle="Moeda">
      <totalsRowFormula>SUBTOTAL(9,P5:P61)</totalsRowFormula>
    </tableColumn>
    <tableColumn id="14" xr3:uid="{00000000-0010-0000-0400-00000E000000}" name="Data4" dataDxfId="551" totalsRowDxfId="550"/>
    <tableColumn id="27" xr3:uid="{00000000-0010-0000-0400-00001B000000}" name="Valor5" totalsRowFunction="custom" dataDxfId="549" totalsRowDxfId="548" dataCellStyle="Moeda">
      <totalsRowFormula>SUBTOTAL(9,R5:R61)</totalsRowFormula>
    </tableColumn>
    <tableColumn id="15" xr3:uid="{00000000-0010-0000-0400-00000F000000}" name="Data5" dataDxfId="547" totalsRowDxfId="546"/>
    <tableColumn id="28" xr3:uid="{00000000-0010-0000-0400-00001C000000}" name="Valor6" totalsRowFunction="custom" dataDxfId="545" totalsRowDxfId="544" dataCellStyle="Vírgula">
      <totalsRowFormula>SUBTOTAL(9,T5:T61)</totalsRowFormula>
    </tableColumn>
    <tableColumn id="16" xr3:uid="{00000000-0010-0000-0400-000010000000}" name="Data6" dataDxfId="543" totalsRowDxfId="542"/>
    <tableColumn id="29" xr3:uid="{00000000-0010-0000-0400-00001D000000}" name="Valor7" totalsRowFunction="custom" dataDxfId="541" totalsRowDxfId="540" dataCellStyle="Vírgula">
      <totalsRowFormula>SUBTOTAL(9,V5:V61)</totalsRowFormula>
    </tableColumn>
    <tableColumn id="17" xr3:uid="{00000000-0010-0000-0400-000011000000}" name="Data7" dataDxfId="539" totalsRowDxfId="538"/>
    <tableColumn id="30" xr3:uid="{00000000-0010-0000-0400-00001E000000}" name="Valor8" totalsRowFunction="sum" dataDxfId="537" totalsRowDxfId="536" dataCellStyle="Moeda"/>
    <tableColumn id="18" xr3:uid="{00000000-0010-0000-0400-000012000000}" name="Data8" dataDxfId="535" totalsRowDxfId="534"/>
    <tableColumn id="31" xr3:uid="{00000000-0010-0000-0400-00001F000000}" name="Valor9" totalsRowFunction="sum" dataDxfId="533" totalsRowDxfId="532" dataCellStyle="Moeda"/>
    <tableColumn id="19" xr3:uid="{00000000-0010-0000-0400-000013000000}" name="Data9" dataDxfId="531" totalsRowDxfId="530"/>
    <tableColumn id="32" xr3:uid="{00000000-0010-0000-0400-000020000000}" name="Valor10" totalsRowFunction="sum" dataDxfId="529" totalsRowDxfId="528" dataCellStyle="Moeda"/>
    <tableColumn id="20" xr3:uid="{00000000-0010-0000-0400-000014000000}" name="Data10" dataDxfId="527" totalsRowDxfId="526"/>
    <tableColumn id="33" xr3:uid="{00000000-0010-0000-0400-000021000000}" name="Valor11" totalsRowFunction="sum" dataDxfId="525" totalsRowDxfId="524" dataCellStyle="Moeda"/>
    <tableColumn id="21" xr3:uid="{00000000-0010-0000-0400-000015000000}" name="Data11" dataDxfId="523" totalsRowDxfId="522"/>
    <tableColumn id="34" xr3:uid="{00000000-0010-0000-0400-000022000000}" name="Valor12" totalsRowFunction="sum" dataDxfId="521" totalsRowDxfId="520" dataCellStyle="Moeda"/>
    <tableColumn id="22" xr3:uid="{00000000-0010-0000-0400-000016000000}" name="Data12" dataDxfId="519" totalsRowDxfId="518"/>
    <tableColumn id="35" xr3:uid="{00000000-0010-0000-0400-000023000000}" name="Valor14" totalsRowFunction="sum" dataDxfId="517" totalsRowDxfId="516" dataCellStyle="Moeda"/>
    <tableColumn id="23" xr3:uid="{00000000-0010-0000-0400-000017000000}" name="Data13" dataDxfId="515" totalsRowDxfId="514"/>
    <tableColumn id="36" xr3:uid="{00000000-0010-0000-0400-000024000000}" name="Valor2" totalsRowFunction="sum" dataDxfId="513" totalsRowDxfId="512" dataCellStyle="Moed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a14567" displayName="Tabela14567" ref="A3:AJ57" totalsRowCount="1" headerRowDxfId="511" dataDxfId="509" headerRowBorderDxfId="510" tableBorderDxfId="508" totalsRowBorderDxfId="507">
  <autoFilter ref="A3:AJ56" xr:uid="{00000000-0009-0000-0100-000006000000}">
    <filterColumn colId="10">
      <filters>
        <filter val="Esdras"/>
      </filters>
    </filterColumn>
  </autoFilter>
  <tableColumns count="36">
    <tableColumn id="1" xr3:uid="{00000000-0010-0000-0500-000001000000}" name="Empresa" totalsRowLabel="Total" dataDxfId="506" totalsRowDxfId="505"/>
    <tableColumn id="2" xr3:uid="{00000000-0010-0000-0500-000002000000}" name="Tipo do serviço prestado (contratado)" dataDxfId="504" totalsRowDxfId="503"/>
    <tableColumn id="3" xr3:uid="{00000000-0010-0000-0500-000003000000}" name="Data de assinatura" dataDxfId="502" totalsRowDxfId="501"/>
    <tableColumn id="24" xr3:uid="{00000000-0010-0000-0500-000018000000}" name="Último aditivo" dataDxfId="500" totalsRowDxfId="499"/>
    <tableColumn id="4" xr3:uid="{00000000-0010-0000-0500-000004000000}" name="Vigência" dataDxfId="498" totalsRowDxfId="497"/>
    <tableColumn id="5" xr3:uid="{00000000-0010-0000-0500-000005000000}" name="Renovação" dataDxfId="496" totalsRowDxfId="495"/>
    <tableColumn id="6" xr3:uid="{00000000-0010-0000-0500-000006000000}" name="Denúncia de cancelamento" dataDxfId="494" totalsRowDxfId="493"/>
    <tableColumn id="7" xr3:uid="{00000000-0010-0000-0500-000007000000}" name="Valor atual" dataDxfId="492" totalsRowDxfId="491" dataCellStyle="Moeda"/>
    <tableColumn id="8" xr3:uid="{00000000-0010-0000-0500-000008000000}" name="Pagamento" dataDxfId="490" totalsRowDxfId="489" dataCellStyle="Moeda"/>
    <tableColumn id="11" xr3:uid="{00000000-0010-0000-0500-00000B000000}" name="Contato" dataDxfId="488" totalsRowDxfId="487" dataCellStyle="Moeda"/>
    <tableColumn id="9" xr3:uid="{00000000-0010-0000-0500-000009000000}" name="Responsável" dataDxfId="486" totalsRowDxfId="485"/>
    <tableColumn id="10" xr3:uid="{00000000-0010-0000-0500-00000A000000}" name="OBS" dataDxfId="484" totalsRowDxfId="483"/>
    <tableColumn id="12" xr3:uid="{00000000-0010-0000-0500-00000C000000}" name="Data2" dataDxfId="482" totalsRowDxfId="481"/>
    <tableColumn id="25" xr3:uid="{00000000-0010-0000-0500-000019000000}" name="Valor3" totalsRowFunction="custom" dataDxfId="480" totalsRowDxfId="479" dataCellStyle="Moeda">
      <totalsRowFormula>SUBTOTAL(9,N5:N56)</totalsRowFormula>
    </tableColumn>
    <tableColumn id="13" xr3:uid="{00000000-0010-0000-0500-00000D000000}" name="Data3" dataDxfId="478" totalsRowDxfId="477"/>
    <tableColumn id="26" xr3:uid="{00000000-0010-0000-0500-00001A000000}" name="Valor4" totalsRowFunction="custom" dataDxfId="476" totalsRowDxfId="475" dataCellStyle="Moeda">
      <totalsRowFormula>SUBTOTAL(9,P5:P56)</totalsRowFormula>
    </tableColumn>
    <tableColumn id="14" xr3:uid="{00000000-0010-0000-0500-00000E000000}" name="Data4" dataDxfId="474" totalsRowDxfId="473"/>
    <tableColumn id="27" xr3:uid="{00000000-0010-0000-0500-00001B000000}" name="Valor5" totalsRowFunction="custom" dataDxfId="472" totalsRowDxfId="471" dataCellStyle="Moeda">
      <totalsRowFormula>SUBTOTAL(9,R5:R56)</totalsRowFormula>
    </tableColumn>
    <tableColumn id="15" xr3:uid="{00000000-0010-0000-0500-00000F000000}" name="Data5" dataDxfId="470" totalsRowDxfId="469"/>
    <tableColumn id="28" xr3:uid="{00000000-0010-0000-0500-00001C000000}" name="Valor6" totalsRowFunction="custom" dataDxfId="468" totalsRowDxfId="467" dataCellStyle="Vírgula">
      <totalsRowFormula>SUBTOTAL(9,T5:T56)</totalsRowFormula>
    </tableColumn>
    <tableColumn id="16" xr3:uid="{00000000-0010-0000-0500-000010000000}" name="Data6" dataDxfId="466" totalsRowDxfId="465"/>
    <tableColumn id="29" xr3:uid="{00000000-0010-0000-0500-00001D000000}" name="Valor7" totalsRowFunction="custom" dataDxfId="464" totalsRowDxfId="463" dataCellStyle="Vírgula">
      <totalsRowFormula>SUBTOTAL(9,V5:V56)</totalsRowFormula>
    </tableColumn>
    <tableColumn id="17" xr3:uid="{00000000-0010-0000-0500-000011000000}" name="Data7" dataDxfId="462" totalsRowDxfId="461"/>
    <tableColumn id="30" xr3:uid="{00000000-0010-0000-0500-00001E000000}" name="Valor8" totalsRowFunction="sum" dataDxfId="460" totalsRowDxfId="459" dataCellStyle="Moeda"/>
    <tableColumn id="18" xr3:uid="{00000000-0010-0000-0500-000012000000}" name="Data8" dataDxfId="458" totalsRowDxfId="457"/>
    <tableColumn id="31" xr3:uid="{00000000-0010-0000-0500-00001F000000}" name="Valor9" totalsRowFunction="sum" dataDxfId="456" totalsRowDxfId="455" dataCellStyle="Moeda"/>
    <tableColumn id="19" xr3:uid="{00000000-0010-0000-0500-000013000000}" name="Data9" dataDxfId="454" totalsRowDxfId="453"/>
    <tableColumn id="32" xr3:uid="{00000000-0010-0000-0500-000020000000}" name="Valor10" totalsRowFunction="sum" dataDxfId="452" totalsRowDxfId="451" dataCellStyle="Moeda"/>
    <tableColumn id="20" xr3:uid="{00000000-0010-0000-0500-000014000000}" name="Data10" dataDxfId="450" totalsRowDxfId="449"/>
    <tableColumn id="33" xr3:uid="{00000000-0010-0000-0500-000021000000}" name="Valor11" totalsRowFunction="sum" dataDxfId="448" totalsRowDxfId="447" dataCellStyle="Moeda"/>
    <tableColumn id="21" xr3:uid="{00000000-0010-0000-0500-000015000000}" name="Data11" dataDxfId="446" totalsRowDxfId="445"/>
    <tableColumn id="34" xr3:uid="{00000000-0010-0000-0500-000022000000}" name="Valor12" totalsRowFunction="sum" dataDxfId="444" totalsRowDxfId="443" dataCellStyle="Moeda"/>
    <tableColumn id="22" xr3:uid="{00000000-0010-0000-0500-000016000000}" name="Data12" dataDxfId="442" totalsRowDxfId="441"/>
    <tableColumn id="35" xr3:uid="{00000000-0010-0000-0500-000023000000}" name="Valor14" totalsRowFunction="sum" dataDxfId="440" totalsRowDxfId="439" dataCellStyle="Moeda"/>
    <tableColumn id="23" xr3:uid="{00000000-0010-0000-0500-000017000000}" name="Data13" dataDxfId="438" totalsRowDxfId="437"/>
    <tableColumn id="36" xr3:uid="{00000000-0010-0000-0500-000024000000}" name="Valor2" totalsRowFunction="sum" dataDxfId="436" totalsRowDxfId="435" dataCellStyle="Moed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a145678" displayName="Tabela145678" ref="B2:AK57" totalsRowCount="1" headerRowDxfId="434" dataDxfId="432" headerRowBorderDxfId="433" tableBorderDxfId="431" totalsRowBorderDxfId="430">
  <autoFilter ref="B2:AK56" xr:uid="{00000000-0009-0000-0100-000007000000}"/>
  <tableColumns count="36">
    <tableColumn id="1" xr3:uid="{00000000-0010-0000-0600-000001000000}" name="Empresa" totalsRowLabel="Total" dataDxfId="429" totalsRowDxfId="428"/>
    <tableColumn id="2" xr3:uid="{00000000-0010-0000-0600-000002000000}" name="Tipo do serviço prestado (contratado)" dataDxfId="427" totalsRowDxfId="426"/>
    <tableColumn id="3" xr3:uid="{00000000-0010-0000-0600-000003000000}" name="Data de assinatura" dataDxfId="425" totalsRowDxfId="424"/>
    <tableColumn id="24" xr3:uid="{00000000-0010-0000-0600-000018000000}" name="Último aditivo" dataDxfId="423" totalsRowDxfId="422"/>
    <tableColumn id="4" xr3:uid="{00000000-0010-0000-0600-000004000000}" name="Vigência" dataDxfId="421" totalsRowDxfId="420"/>
    <tableColumn id="5" xr3:uid="{00000000-0010-0000-0600-000005000000}" name="Renovação" dataDxfId="419" totalsRowDxfId="418"/>
    <tableColumn id="6" xr3:uid="{00000000-0010-0000-0600-000006000000}" name="Denúncia de cancelamento" dataDxfId="417" totalsRowDxfId="416"/>
    <tableColumn id="7" xr3:uid="{00000000-0010-0000-0600-000007000000}" name="Valor atual" dataDxfId="415" totalsRowDxfId="414" dataCellStyle="Moeda"/>
    <tableColumn id="8" xr3:uid="{00000000-0010-0000-0600-000008000000}" name="Pagamento" dataDxfId="413" totalsRowDxfId="412" dataCellStyle="Moeda"/>
    <tableColumn id="11" xr3:uid="{00000000-0010-0000-0600-00000B000000}" name="Contato" dataDxfId="411" totalsRowDxfId="410" dataCellStyle="Moeda"/>
    <tableColumn id="9" xr3:uid="{00000000-0010-0000-0600-000009000000}" name="Responsável" dataDxfId="409" totalsRowDxfId="408"/>
    <tableColumn id="10" xr3:uid="{00000000-0010-0000-0600-00000A000000}" name="OBS" dataDxfId="407" totalsRowDxfId="406"/>
    <tableColumn id="12" xr3:uid="{00000000-0010-0000-0600-00000C000000}" name="Data2" dataDxfId="405" totalsRowDxfId="404"/>
    <tableColumn id="25" xr3:uid="{00000000-0010-0000-0600-000019000000}" name="Valor3" totalsRowFunction="custom" dataDxfId="403" totalsRowDxfId="402" dataCellStyle="Moeda">
      <totalsRowFormula>SUBTOTAL(9,O3:O56)</totalsRowFormula>
    </tableColumn>
    <tableColumn id="13" xr3:uid="{00000000-0010-0000-0600-00000D000000}" name="Data3" dataDxfId="401" totalsRowDxfId="400"/>
    <tableColumn id="26" xr3:uid="{00000000-0010-0000-0600-00001A000000}" name="Valor4" totalsRowFunction="custom" dataDxfId="399" totalsRowDxfId="398" dataCellStyle="Moeda">
      <totalsRowFormula>SUBTOTAL(9,Q3:Q56)</totalsRowFormula>
    </tableColumn>
    <tableColumn id="14" xr3:uid="{00000000-0010-0000-0600-00000E000000}" name="Data4" dataDxfId="397" totalsRowDxfId="396"/>
    <tableColumn id="27" xr3:uid="{00000000-0010-0000-0600-00001B000000}" name="Valor5" totalsRowFunction="custom" dataDxfId="395" totalsRowDxfId="394" dataCellStyle="Moeda">
      <totalsRowFormula>SUBTOTAL(9,S3:S56)</totalsRowFormula>
    </tableColumn>
    <tableColumn id="15" xr3:uid="{00000000-0010-0000-0600-00000F000000}" name="Data5" dataDxfId="393" totalsRowDxfId="392"/>
    <tableColumn id="28" xr3:uid="{00000000-0010-0000-0600-00001C000000}" name="Valor6" totalsRowFunction="custom" dataDxfId="391" totalsRowDxfId="390" dataCellStyle="Vírgula">
      <totalsRowFormula>SUBTOTAL(9,U3:U56)</totalsRowFormula>
    </tableColumn>
    <tableColumn id="16" xr3:uid="{00000000-0010-0000-0600-000010000000}" name="Data6" dataDxfId="389" totalsRowDxfId="388"/>
    <tableColumn id="29" xr3:uid="{00000000-0010-0000-0600-00001D000000}" name="Valor7" totalsRowFunction="custom" dataDxfId="387" totalsRowDxfId="386" dataCellStyle="Vírgula">
      <totalsRowFormula>SUBTOTAL(9,W3:W56)</totalsRowFormula>
    </tableColumn>
    <tableColumn id="17" xr3:uid="{00000000-0010-0000-0600-000011000000}" name="Data7" dataDxfId="385" totalsRowDxfId="384"/>
    <tableColumn id="30" xr3:uid="{00000000-0010-0000-0600-00001E000000}" name="Valor8" totalsRowFunction="sum" dataDxfId="383" totalsRowDxfId="382" dataCellStyle="Moeda"/>
    <tableColumn id="18" xr3:uid="{00000000-0010-0000-0600-000012000000}" name="Data8" dataDxfId="381" totalsRowDxfId="380"/>
    <tableColumn id="31" xr3:uid="{00000000-0010-0000-0600-00001F000000}" name="Valor9" totalsRowFunction="sum" dataDxfId="379" totalsRowDxfId="378" dataCellStyle="Moeda"/>
    <tableColumn id="19" xr3:uid="{00000000-0010-0000-0600-000013000000}" name="Data9" dataDxfId="377" totalsRowDxfId="376"/>
    <tableColumn id="32" xr3:uid="{00000000-0010-0000-0600-000020000000}" name="Valor10" totalsRowFunction="sum" dataDxfId="375" totalsRowDxfId="374" dataCellStyle="Moeda"/>
    <tableColumn id="20" xr3:uid="{00000000-0010-0000-0600-000014000000}" name="Data10" dataDxfId="373" totalsRowDxfId="372"/>
    <tableColumn id="33" xr3:uid="{00000000-0010-0000-0600-000021000000}" name="Valor11" totalsRowFunction="sum" dataDxfId="371" totalsRowDxfId="370" dataCellStyle="Moeda"/>
    <tableColumn id="21" xr3:uid="{00000000-0010-0000-0600-000015000000}" name="Data11" dataDxfId="369" totalsRowDxfId="368"/>
    <tableColumn id="34" xr3:uid="{00000000-0010-0000-0600-000022000000}" name="Valor12" totalsRowFunction="sum" dataDxfId="367" totalsRowDxfId="366" dataCellStyle="Moeda"/>
    <tableColumn id="22" xr3:uid="{00000000-0010-0000-0600-000016000000}" name="Data12" dataDxfId="365" totalsRowDxfId="364"/>
    <tableColumn id="35" xr3:uid="{00000000-0010-0000-0600-000023000000}" name="Valor14" totalsRowFunction="sum" dataDxfId="363" totalsRowDxfId="362" dataCellStyle="Moeda"/>
    <tableColumn id="23" xr3:uid="{00000000-0010-0000-0600-000017000000}" name="Data13" dataDxfId="361" totalsRowDxfId="360"/>
    <tableColumn id="36" xr3:uid="{00000000-0010-0000-0600-000024000000}" name="Valor2" totalsRowFunction="sum" dataDxfId="359" totalsRowDxfId="358" dataCellStyle="Moed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ela1456789" displayName="Tabela1456789" ref="B2:AK57" totalsRowCount="1" headerRowDxfId="357" dataDxfId="355" headerRowBorderDxfId="356" tableBorderDxfId="354" totalsRowBorderDxfId="353">
  <autoFilter ref="B2:AK56" xr:uid="{00000000-0009-0000-0100-000008000000}">
    <filterColumn colId="10">
      <filters>
        <filter val="Esdras"/>
      </filters>
    </filterColumn>
  </autoFilter>
  <tableColumns count="36">
    <tableColumn id="1" xr3:uid="{00000000-0010-0000-0700-000001000000}" name="Empresa" totalsRowLabel="Total" dataDxfId="352" totalsRowDxfId="351"/>
    <tableColumn id="2" xr3:uid="{00000000-0010-0000-0700-000002000000}" name="Tipo do serviço prestado (contratado)" dataDxfId="350" totalsRowDxfId="349"/>
    <tableColumn id="3" xr3:uid="{00000000-0010-0000-0700-000003000000}" name="Data de assinatura" dataDxfId="348" totalsRowDxfId="347"/>
    <tableColumn id="24" xr3:uid="{00000000-0010-0000-0700-000018000000}" name="Último aditivo" dataDxfId="346" totalsRowDxfId="345"/>
    <tableColumn id="4" xr3:uid="{00000000-0010-0000-0700-000004000000}" name="Vigência" dataDxfId="344" totalsRowDxfId="343"/>
    <tableColumn id="5" xr3:uid="{00000000-0010-0000-0700-000005000000}" name="Renovação" dataDxfId="342" totalsRowDxfId="341"/>
    <tableColumn id="6" xr3:uid="{00000000-0010-0000-0700-000006000000}" name="Denúncia de cancelamento" dataDxfId="340" totalsRowDxfId="339"/>
    <tableColumn id="7" xr3:uid="{00000000-0010-0000-0700-000007000000}" name="Valor atual" dataDxfId="338" totalsRowDxfId="337" dataCellStyle="Moeda"/>
    <tableColumn id="8" xr3:uid="{00000000-0010-0000-0700-000008000000}" name="Pagamento" dataDxfId="336" totalsRowDxfId="335" dataCellStyle="Moeda"/>
    <tableColumn id="11" xr3:uid="{00000000-0010-0000-0700-00000B000000}" name="Contato" dataDxfId="334" totalsRowDxfId="333" dataCellStyle="Moeda"/>
    <tableColumn id="9" xr3:uid="{00000000-0010-0000-0700-000009000000}" name="Responsável" dataDxfId="332" totalsRowDxfId="331"/>
    <tableColumn id="10" xr3:uid="{00000000-0010-0000-0700-00000A000000}" name="OBS" dataDxfId="330" totalsRowDxfId="329"/>
    <tableColumn id="12" xr3:uid="{00000000-0010-0000-0700-00000C000000}" name="Data2" dataDxfId="328" totalsRowDxfId="327"/>
    <tableColumn id="25" xr3:uid="{00000000-0010-0000-0700-000019000000}" name="Valor3" totalsRowFunction="custom" dataDxfId="326" totalsRowDxfId="325" dataCellStyle="Moeda">
      <totalsRowFormula>SUBTOTAL(9,O3:O56)</totalsRowFormula>
    </tableColumn>
    <tableColumn id="13" xr3:uid="{00000000-0010-0000-0700-00000D000000}" name="Data3" dataDxfId="324" totalsRowDxfId="323"/>
    <tableColumn id="26" xr3:uid="{00000000-0010-0000-0700-00001A000000}" name="Valor4" totalsRowFunction="custom" dataDxfId="322" totalsRowDxfId="321" dataCellStyle="Moeda">
      <totalsRowFormula>SUBTOTAL(9,Q3:Q56)</totalsRowFormula>
    </tableColumn>
    <tableColumn id="14" xr3:uid="{00000000-0010-0000-0700-00000E000000}" name="Data4" dataDxfId="320" totalsRowDxfId="319"/>
    <tableColumn id="27" xr3:uid="{00000000-0010-0000-0700-00001B000000}" name="Valor5" totalsRowFunction="custom" dataDxfId="318" totalsRowDxfId="317" dataCellStyle="Moeda">
      <totalsRowFormula>SUBTOTAL(9,S3:S56)</totalsRowFormula>
    </tableColumn>
    <tableColumn id="15" xr3:uid="{00000000-0010-0000-0700-00000F000000}" name="Data5" dataDxfId="316" totalsRowDxfId="315"/>
    <tableColumn id="28" xr3:uid="{00000000-0010-0000-0700-00001C000000}" name="Valor6" totalsRowFunction="custom" dataDxfId="314" totalsRowDxfId="313" dataCellStyle="Vírgula">
      <totalsRowFormula>SUBTOTAL(9,U3:U56)</totalsRowFormula>
    </tableColumn>
    <tableColumn id="16" xr3:uid="{00000000-0010-0000-0700-000010000000}" name="Data6" dataDxfId="312" totalsRowDxfId="311"/>
    <tableColumn id="29" xr3:uid="{00000000-0010-0000-0700-00001D000000}" name="Valor7" totalsRowFunction="custom" dataDxfId="310" totalsRowDxfId="309" dataCellStyle="Vírgula">
      <totalsRowFormula>SUBTOTAL(9,W3:W56)</totalsRowFormula>
    </tableColumn>
    <tableColumn id="17" xr3:uid="{00000000-0010-0000-0700-000011000000}" name="Data7" dataDxfId="308" totalsRowDxfId="307"/>
    <tableColumn id="30" xr3:uid="{00000000-0010-0000-0700-00001E000000}" name="Valor8" totalsRowFunction="sum" dataDxfId="306" totalsRowDxfId="305" dataCellStyle="Moeda"/>
    <tableColumn id="18" xr3:uid="{00000000-0010-0000-0700-000012000000}" name="Data8" dataDxfId="304" totalsRowDxfId="303"/>
    <tableColumn id="31" xr3:uid="{00000000-0010-0000-0700-00001F000000}" name="Valor9" totalsRowFunction="sum" dataDxfId="302" totalsRowDxfId="301" dataCellStyle="Moeda"/>
    <tableColumn id="19" xr3:uid="{00000000-0010-0000-0700-000013000000}" name="Data9" dataDxfId="300" totalsRowDxfId="299"/>
    <tableColumn id="32" xr3:uid="{00000000-0010-0000-0700-000020000000}" name="Valor10" totalsRowFunction="sum" dataDxfId="298" totalsRowDxfId="297" dataCellStyle="Moeda"/>
    <tableColumn id="20" xr3:uid="{00000000-0010-0000-0700-000014000000}" name="Data10" dataDxfId="296" totalsRowDxfId="295"/>
    <tableColumn id="33" xr3:uid="{00000000-0010-0000-0700-000021000000}" name="Valor11" totalsRowFunction="sum" dataDxfId="294" totalsRowDxfId="293" dataCellStyle="Moeda"/>
    <tableColumn id="21" xr3:uid="{00000000-0010-0000-0700-000015000000}" name="Data11" dataDxfId="292" totalsRowDxfId="291"/>
    <tableColumn id="34" xr3:uid="{00000000-0010-0000-0700-000022000000}" name="Valor12" totalsRowFunction="sum" dataDxfId="290" totalsRowDxfId="289" dataCellStyle="Moeda"/>
    <tableColumn id="22" xr3:uid="{00000000-0010-0000-0700-000016000000}" name="Data12" dataDxfId="288" totalsRowDxfId="287"/>
    <tableColumn id="35" xr3:uid="{00000000-0010-0000-0700-000023000000}" name="Valor14" totalsRowFunction="sum" dataDxfId="286" totalsRowDxfId="285" dataCellStyle="Moeda"/>
    <tableColumn id="23" xr3:uid="{00000000-0010-0000-0700-000017000000}" name="Data13" dataDxfId="284" totalsRowDxfId="283"/>
    <tableColumn id="36" xr3:uid="{00000000-0010-0000-0700-000024000000}" name="Valor2" totalsRowFunction="sum" dataDxfId="282" totalsRowDxfId="281" dataCellStyle="Moed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ela145678910" displayName="Tabela145678910" ref="B2:AL61" totalsRowCount="1" headerRowDxfId="280" dataDxfId="278" headerRowBorderDxfId="279" tableBorderDxfId="277" totalsRowBorderDxfId="276">
  <autoFilter ref="B2:AL60" xr:uid="{00000000-0009-0000-0100-000009000000}">
    <filterColumn colId="10">
      <filters>
        <filter val="Esdras"/>
      </filters>
    </filterColumn>
  </autoFilter>
  <tableColumns count="37">
    <tableColumn id="1" xr3:uid="{00000000-0010-0000-0800-000001000000}" name="Empresa" totalsRowLabel="Total" dataDxfId="275" totalsRowDxfId="274"/>
    <tableColumn id="2" xr3:uid="{00000000-0010-0000-0800-000002000000}" name="Tipo do serviço prestado (contratado)" dataDxfId="273" totalsRowDxfId="272"/>
    <tableColumn id="3" xr3:uid="{00000000-0010-0000-0800-000003000000}" name="Data de assinatura" dataDxfId="271" totalsRowDxfId="270"/>
    <tableColumn id="24" xr3:uid="{00000000-0010-0000-0800-000018000000}" name="Último aditivo" dataDxfId="269" totalsRowDxfId="268"/>
    <tableColumn id="4" xr3:uid="{00000000-0010-0000-0800-000004000000}" name="Vigência" dataDxfId="267" totalsRowDxfId="266"/>
    <tableColumn id="5" xr3:uid="{00000000-0010-0000-0800-000005000000}" name="Renovação" dataDxfId="265" totalsRowDxfId="264"/>
    <tableColumn id="6" xr3:uid="{00000000-0010-0000-0800-000006000000}" name="Denúncia de cancelamento" dataDxfId="263" totalsRowDxfId="262"/>
    <tableColumn id="7" xr3:uid="{00000000-0010-0000-0800-000007000000}" name="Valor atual" dataDxfId="261" totalsRowDxfId="260" dataCellStyle="Moeda"/>
    <tableColumn id="8" xr3:uid="{00000000-0010-0000-0800-000008000000}" name="Pagamento" dataDxfId="259" totalsRowDxfId="258" dataCellStyle="Moeda"/>
    <tableColumn id="11" xr3:uid="{00000000-0010-0000-0800-00000B000000}" name="Contato" dataDxfId="257" totalsRowDxfId="256" dataCellStyle="Moeda"/>
    <tableColumn id="9" xr3:uid="{00000000-0010-0000-0800-000009000000}" name="Responsável" dataDxfId="255" totalsRowDxfId="254"/>
    <tableColumn id="10" xr3:uid="{00000000-0010-0000-0800-00000A000000}" name="OBS" dataDxfId="253" totalsRowDxfId="252"/>
    <tableColumn id="38" xr3:uid="{00000000-0010-0000-0800-000026000000}" name="Forma Pgto" dataDxfId="251" totalsRowDxfId="250"/>
    <tableColumn id="12" xr3:uid="{00000000-0010-0000-0800-00000C000000}" name="Data2" dataDxfId="249" totalsRowDxfId="248"/>
    <tableColumn id="25" xr3:uid="{00000000-0010-0000-0800-000019000000}" name="Valor3" totalsRowFunction="custom" dataDxfId="247" totalsRowDxfId="246" dataCellStyle="Moeda">
      <totalsRowFormula>SUBTOTAL(9,P3:P60)</totalsRowFormula>
    </tableColumn>
    <tableColumn id="13" xr3:uid="{00000000-0010-0000-0800-00000D000000}" name="Data3" dataDxfId="245" totalsRowDxfId="244"/>
    <tableColumn id="26" xr3:uid="{00000000-0010-0000-0800-00001A000000}" name="Valor4" totalsRowFunction="custom" dataDxfId="243" totalsRowDxfId="242" dataCellStyle="Moeda">
      <totalsRowFormula>SUBTOTAL(9,R3:R60)</totalsRowFormula>
    </tableColumn>
    <tableColumn id="14" xr3:uid="{00000000-0010-0000-0800-00000E000000}" name="Data4" dataDxfId="241" totalsRowDxfId="240"/>
    <tableColumn id="27" xr3:uid="{00000000-0010-0000-0800-00001B000000}" name="Valor5" totalsRowFunction="custom" dataDxfId="239" totalsRowDxfId="238" dataCellStyle="Moeda">
      <totalsRowFormula>SUBTOTAL(9,T3:T60)</totalsRowFormula>
    </tableColumn>
    <tableColumn id="15" xr3:uid="{00000000-0010-0000-0800-00000F000000}" name="Data5" dataDxfId="237" totalsRowDxfId="236"/>
    <tableColumn id="28" xr3:uid="{00000000-0010-0000-0800-00001C000000}" name="Valor6" totalsRowFunction="custom" dataDxfId="235" totalsRowDxfId="234" dataCellStyle="Vírgula">
      <totalsRowFormula>SUBTOTAL(9,V3:V60)</totalsRowFormula>
    </tableColumn>
    <tableColumn id="16" xr3:uid="{00000000-0010-0000-0800-000010000000}" name="Data6" dataDxfId="233" totalsRowDxfId="232"/>
    <tableColumn id="29" xr3:uid="{00000000-0010-0000-0800-00001D000000}" name="Valor7" totalsRowFunction="custom" dataDxfId="231" totalsRowDxfId="230" dataCellStyle="Vírgula">
      <totalsRowFormula>SUBTOTAL(9,X3:X60)</totalsRowFormula>
    </tableColumn>
    <tableColumn id="17" xr3:uid="{00000000-0010-0000-0800-000011000000}" name="Data7" dataDxfId="229" totalsRowDxfId="228"/>
    <tableColumn id="30" xr3:uid="{00000000-0010-0000-0800-00001E000000}" name="Valor8" totalsRowFunction="sum" dataDxfId="227" totalsRowDxfId="226" dataCellStyle="Moeda"/>
    <tableColumn id="18" xr3:uid="{00000000-0010-0000-0800-000012000000}" name="Data8" dataDxfId="225" totalsRowDxfId="224"/>
    <tableColumn id="31" xr3:uid="{00000000-0010-0000-0800-00001F000000}" name="Valor9" totalsRowFunction="sum" dataDxfId="223" totalsRowDxfId="222" dataCellStyle="Moeda"/>
    <tableColumn id="19" xr3:uid="{00000000-0010-0000-0800-000013000000}" name="Data9" dataDxfId="221" totalsRowDxfId="220"/>
    <tableColumn id="32" xr3:uid="{00000000-0010-0000-0800-000020000000}" name="Valor10" totalsRowFunction="sum" dataDxfId="219" totalsRowDxfId="218" dataCellStyle="Moeda"/>
    <tableColumn id="20" xr3:uid="{00000000-0010-0000-0800-000014000000}" name="Data10" dataDxfId="217" totalsRowDxfId="216"/>
    <tableColumn id="33" xr3:uid="{00000000-0010-0000-0800-000021000000}" name="Valor11" totalsRowFunction="sum" dataDxfId="215" totalsRowDxfId="214" dataCellStyle="Moeda"/>
    <tableColumn id="21" xr3:uid="{00000000-0010-0000-0800-000015000000}" name="Data11" dataDxfId="213" totalsRowDxfId="212"/>
    <tableColumn id="34" xr3:uid="{00000000-0010-0000-0800-000022000000}" name="Valor12" totalsRowFunction="sum" dataDxfId="211" totalsRowDxfId="210" dataCellStyle="Moeda"/>
    <tableColumn id="22" xr3:uid="{00000000-0010-0000-0800-000016000000}" name="Data12" dataDxfId="209" totalsRowDxfId="208"/>
    <tableColumn id="35" xr3:uid="{00000000-0010-0000-0800-000023000000}" name="Valor14" totalsRowFunction="sum" dataDxfId="207" totalsRowDxfId="206" dataCellStyle="Moeda"/>
    <tableColumn id="23" xr3:uid="{00000000-0010-0000-0800-000017000000}" name="Data13" dataDxfId="205" totalsRowDxfId="204"/>
    <tableColumn id="36" xr3:uid="{00000000-0010-0000-0800-000024000000}" name="Valor2" totalsRowFunction="sum" dataDxfId="203" totalsRowDxfId="202" dataCellStyle="Moed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ela14567891011" displayName="Tabela14567891011" ref="B2:AL41" totalsRowCount="1" headerRowDxfId="201" dataDxfId="199" headerRowBorderDxfId="200" tableBorderDxfId="198" totalsRowBorderDxfId="197">
  <autoFilter ref="B2:AL40" xr:uid="{00000000-0009-0000-0100-00000A000000}">
    <filterColumn colId="10">
      <filters>
        <filter val="Esdras"/>
      </filters>
    </filterColumn>
  </autoFilter>
  <tableColumns count="37">
    <tableColumn id="1" xr3:uid="{00000000-0010-0000-0900-000001000000}" name="Empresa" totalsRowLabel="Total" dataDxfId="196" totalsRowDxfId="195"/>
    <tableColumn id="2" xr3:uid="{00000000-0010-0000-0900-000002000000}" name="Tipo do serviço prestado (contratado)" dataDxfId="194" totalsRowDxfId="193"/>
    <tableColumn id="3" xr3:uid="{00000000-0010-0000-0900-000003000000}" name="Data de assinatura" dataDxfId="192" totalsRowDxfId="191"/>
    <tableColumn id="24" xr3:uid="{00000000-0010-0000-0900-000018000000}" name="Último aditivo" dataDxfId="190" totalsRowDxfId="189"/>
    <tableColumn id="4" xr3:uid="{00000000-0010-0000-0900-000004000000}" name="Vigência" dataDxfId="188" totalsRowDxfId="187"/>
    <tableColumn id="5" xr3:uid="{00000000-0010-0000-0900-000005000000}" name="Renovação" dataDxfId="186" totalsRowDxfId="185"/>
    <tableColumn id="6" xr3:uid="{00000000-0010-0000-0900-000006000000}" name="Denúncia de cancelamento" dataDxfId="184" totalsRowDxfId="183"/>
    <tableColumn id="7" xr3:uid="{00000000-0010-0000-0900-000007000000}" name="Valor atual" dataDxfId="182" totalsRowDxfId="181" dataCellStyle="Moeda"/>
    <tableColumn id="8" xr3:uid="{00000000-0010-0000-0900-000008000000}" name="Pagamento" dataDxfId="180" totalsRowDxfId="179" dataCellStyle="Moeda"/>
    <tableColumn id="11" xr3:uid="{00000000-0010-0000-0900-00000B000000}" name="Contato" dataDxfId="178" totalsRowDxfId="177" dataCellStyle="Moeda"/>
    <tableColumn id="9" xr3:uid="{00000000-0010-0000-0900-000009000000}" name="Responsável" dataDxfId="176" totalsRowDxfId="175"/>
    <tableColumn id="10" xr3:uid="{00000000-0010-0000-0900-00000A000000}" name="OBS" dataDxfId="174" totalsRowDxfId="173"/>
    <tableColumn id="38" xr3:uid="{00000000-0010-0000-0900-000026000000}" name="Forma Pgto" dataDxfId="172" totalsRowDxfId="171"/>
    <tableColumn id="12" xr3:uid="{00000000-0010-0000-0900-00000C000000}" name="Data2" dataDxfId="170" totalsRowDxfId="169"/>
    <tableColumn id="25" xr3:uid="{00000000-0010-0000-0900-000019000000}" name="Valor3" totalsRowFunction="custom" dataDxfId="168" totalsRowDxfId="167" dataCellStyle="Moeda">
      <totalsRowFormula>SUBTOTAL(9,P3:P40)</totalsRowFormula>
    </tableColumn>
    <tableColumn id="13" xr3:uid="{00000000-0010-0000-0900-00000D000000}" name="Data3" dataDxfId="166" totalsRowDxfId="165"/>
    <tableColumn id="26" xr3:uid="{00000000-0010-0000-0900-00001A000000}" name="Valor4" totalsRowFunction="custom" dataDxfId="164" totalsRowDxfId="163" dataCellStyle="Moeda">
      <totalsRowFormula>SUBTOTAL(9,R3:R40)</totalsRowFormula>
    </tableColumn>
    <tableColumn id="14" xr3:uid="{00000000-0010-0000-0900-00000E000000}" name="Data4" dataDxfId="162" totalsRowDxfId="161"/>
    <tableColumn id="27" xr3:uid="{00000000-0010-0000-0900-00001B000000}" name="Valor5" totalsRowFunction="custom" dataDxfId="160" totalsRowDxfId="159" dataCellStyle="Moeda">
      <totalsRowFormula>SUBTOTAL(9,T3:T40)</totalsRowFormula>
    </tableColumn>
    <tableColumn id="15" xr3:uid="{00000000-0010-0000-0900-00000F000000}" name="Data5" dataDxfId="158" totalsRowDxfId="157"/>
    <tableColumn id="28" xr3:uid="{00000000-0010-0000-0900-00001C000000}" name="Valor6" totalsRowFunction="custom" dataDxfId="156" totalsRowDxfId="155" dataCellStyle="Vírgula">
      <totalsRowFormula>SUBTOTAL(9,V3:V40)</totalsRowFormula>
    </tableColumn>
    <tableColumn id="16" xr3:uid="{00000000-0010-0000-0900-000010000000}" name="Data6" dataDxfId="154" totalsRowDxfId="153"/>
    <tableColumn id="29" xr3:uid="{00000000-0010-0000-0900-00001D000000}" name="Valor7" totalsRowFunction="custom" dataDxfId="152" totalsRowDxfId="151" dataCellStyle="Vírgula">
      <totalsRowFormula>SUBTOTAL(9,X3:X40)</totalsRowFormula>
    </tableColumn>
    <tableColumn id="17" xr3:uid="{00000000-0010-0000-0900-000011000000}" name="Data7" dataDxfId="150" totalsRowDxfId="149"/>
    <tableColumn id="30" xr3:uid="{00000000-0010-0000-0900-00001E000000}" name="Valor8" totalsRowFunction="sum" dataDxfId="148" totalsRowDxfId="147" dataCellStyle="Moeda"/>
    <tableColumn id="18" xr3:uid="{00000000-0010-0000-0900-000012000000}" name="Data8" dataDxfId="146" totalsRowDxfId="145"/>
    <tableColumn id="31" xr3:uid="{00000000-0010-0000-0900-00001F000000}" name="Valor9" totalsRowFunction="sum" dataDxfId="144" totalsRowDxfId="143" dataCellStyle="Moeda"/>
    <tableColumn id="19" xr3:uid="{00000000-0010-0000-0900-000013000000}" name="Data9" dataDxfId="142" totalsRowDxfId="141"/>
    <tableColumn id="32" xr3:uid="{00000000-0010-0000-0900-000020000000}" name="Valor10" totalsRowFunction="sum" dataDxfId="140" totalsRowDxfId="139" dataCellStyle="Moeda"/>
    <tableColumn id="20" xr3:uid="{00000000-0010-0000-0900-000014000000}" name="Data10" dataDxfId="138" totalsRowDxfId="137"/>
    <tableColumn id="33" xr3:uid="{00000000-0010-0000-0900-000021000000}" name="Valor11" totalsRowFunction="sum" dataDxfId="136" totalsRowDxfId="135" dataCellStyle="Moeda"/>
    <tableColumn id="21" xr3:uid="{00000000-0010-0000-0900-000015000000}" name="Data11" dataDxfId="134" totalsRowDxfId="133"/>
    <tableColumn id="34" xr3:uid="{00000000-0010-0000-0900-000022000000}" name="Valor12" totalsRowFunction="sum" dataDxfId="132" totalsRowDxfId="131" dataCellStyle="Moeda"/>
    <tableColumn id="22" xr3:uid="{00000000-0010-0000-0900-000016000000}" name="Data12" dataDxfId="130" totalsRowDxfId="129"/>
    <tableColumn id="35" xr3:uid="{00000000-0010-0000-0900-000023000000}" name="Valor14" totalsRowFunction="sum" dataDxfId="128" totalsRowDxfId="127" dataCellStyle="Moeda"/>
    <tableColumn id="23" xr3:uid="{00000000-0010-0000-0900-000017000000}" name="Data13" dataDxfId="126" totalsRowDxfId="125"/>
    <tableColumn id="36" xr3:uid="{00000000-0010-0000-0900-000024000000}" name="Valor2" totalsRowFunction="sum" dataDxfId="124" totalsRowDxfId="123" dataCellStyle="Moed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ela1456789101112" displayName="Tabela1456789101112" ref="B2:AL42" totalsRowCount="1" headerRowDxfId="122" dataDxfId="120" headerRowBorderDxfId="121" tableBorderDxfId="119" totalsRowBorderDxfId="118">
  <autoFilter ref="B2:AL41" xr:uid="{00000000-0009-0000-0100-00000B000000}"/>
  <tableColumns count="37">
    <tableColumn id="1" xr3:uid="{00000000-0010-0000-0A00-000001000000}" name="Empresa" totalsRowLabel="Total" dataDxfId="117" totalsRowDxfId="116"/>
    <tableColumn id="2" xr3:uid="{00000000-0010-0000-0A00-000002000000}" name="Tipo do serviço prestado (contratado)" dataDxfId="115" totalsRowDxfId="114"/>
    <tableColumn id="3" xr3:uid="{00000000-0010-0000-0A00-000003000000}" name="Data de assinatura" dataDxfId="113" totalsRowDxfId="112"/>
    <tableColumn id="24" xr3:uid="{00000000-0010-0000-0A00-000018000000}" name="Último aditivo" dataDxfId="111" totalsRowDxfId="110"/>
    <tableColumn id="4" xr3:uid="{00000000-0010-0000-0A00-000004000000}" name="Vigência" dataDxfId="109" totalsRowDxfId="108"/>
    <tableColumn id="5" xr3:uid="{00000000-0010-0000-0A00-000005000000}" name="Renovação" dataDxfId="107" totalsRowDxfId="106"/>
    <tableColumn id="6" xr3:uid="{00000000-0010-0000-0A00-000006000000}" name="Denúncia de cancelamento" dataDxfId="105" totalsRowDxfId="104"/>
    <tableColumn id="7" xr3:uid="{00000000-0010-0000-0A00-000007000000}" name="Valor atual" dataDxfId="103" totalsRowDxfId="102" dataCellStyle="Moeda"/>
    <tableColumn id="37" xr3:uid="{E9F4AC63-B50B-4C23-B838-AB19F6452209}" name="Contato" totalsRowDxfId="101"/>
    <tableColumn id="8" xr3:uid="{00000000-0010-0000-0A00-000008000000}" name="Pagamento" dataDxfId="100" totalsRowDxfId="99" dataCellStyle="Moeda"/>
    <tableColumn id="9" xr3:uid="{00000000-0010-0000-0A00-000009000000}" name="Responsável" dataDxfId="98" totalsRowDxfId="97"/>
    <tableColumn id="10" xr3:uid="{00000000-0010-0000-0A00-00000A000000}" name="OBS" dataDxfId="96" totalsRowDxfId="95"/>
    <tableColumn id="38" xr3:uid="{00000000-0010-0000-0A00-000026000000}" name="Forma Pgto" dataDxfId="94" totalsRowDxfId="93"/>
    <tableColumn id="12" xr3:uid="{00000000-0010-0000-0A00-00000C000000}" name="Data2" dataDxfId="92" totalsRowDxfId="91"/>
    <tableColumn id="25" xr3:uid="{00000000-0010-0000-0A00-000019000000}" name="Valor3" totalsRowFunction="custom" dataDxfId="90" totalsRowDxfId="89" dataCellStyle="Moeda">
      <totalsRowFormula>SUBTOTAL(9,P3:P41)</totalsRowFormula>
    </tableColumn>
    <tableColumn id="13" xr3:uid="{00000000-0010-0000-0A00-00000D000000}" name="Data3" dataDxfId="88" totalsRowDxfId="87"/>
    <tableColumn id="26" xr3:uid="{00000000-0010-0000-0A00-00001A000000}" name="Valor4" totalsRowFunction="custom" dataDxfId="86" totalsRowDxfId="85" dataCellStyle="Moeda">
      <totalsRowFormula>SUBTOTAL(9,R3:R41)</totalsRowFormula>
    </tableColumn>
    <tableColumn id="14" xr3:uid="{00000000-0010-0000-0A00-00000E000000}" name="Data4" dataDxfId="84" totalsRowDxfId="83"/>
    <tableColumn id="27" xr3:uid="{00000000-0010-0000-0A00-00001B000000}" name="Valor5" totalsRowFunction="custom" dataDxfId="82" totalsRowDxfId="81" dataCellStyle="Moeda">
      <totalsRowFormula>SUBTOTAL(9,T3:T41)</totalsRowFormula>
    </tableColumn>
    <tableColumn id="15" xr3:uid="{00000000-0010-0000-0A00-00000F000000}" name="Data5" dataDxfId="80" totalsRowDxfId="79"/>
    <tableColumn id="28" xr3:uid="{00000000-0010-0000-0A00-00001C000000}" name="Valor6" totalsRowFunction="custom" dataDxfId="78" totalsRowDxfId="77" dataCellStyle="Vírgula">
      <totalsRowFormula>SUBTOTAL(9,V3:V41)</totalsRowFormula>
    </tableColumn>
    <tableColumn id="16" xr3:uid="{00000000-0010-0000-0A00-000010000000}" name="Data6" dataDxfId="76" totalsRowDxfId="75"/>
    <tableColumn id="29" xr3:uid="{00000000-0010-0000-0A00-00001D000000}" name="Valor7" totalsRowFunction="custom" dataDxfId="74" totalsRowDxfId="73" dataCellStyle="Vírgula">
      <totalsRowFormula>SUBTOTAL(9,X3:X41)</totalsRowFormula>
    </tableColumn>
    <tableColumn id="17" xr3:uid="{00000000-0010-0000-0A00-000011000000}" name="Data7" dataDxfId="72" totalsRowDxfId="71"/>
    <tableColumn id="30" xr3:uid="{00000000-0010-0000-0A00-00001E000000}" name="Valor8" totalsRowFunction="sum" dataDxfId="70" totalsRowDxfId="69" dataCellStyle="Moeda"/>
    <tableColumn id="18" xr3:uid="{00000000-0010-0000-0A00-000012000000}" name="Data8" dataDxfId="68" totalsRowDxfId="67"/>
    <tableColumn id="31" xr3:uid="{00000000-0010-0000-0A00-00001F000000}" name="Valor9" totalsRowFunction="sum" dataDxfId="66" totalsRowDxfId="65" dataCellStyle="Moeda"/>
    <tableColumn id="19" xr3:uid="{00000000-0010-0000-0A00-000013000000}" name="Data9" dataDxfId="64" totalsRowDxfId="63"/>
    <tableColumn id="32" xr3:uid="{00000000-0010-0000-0A00-000020000000}" name="Valor10" totalsRowFunction="sum" dataDxfId="62" totalsRowDxfId="61" dataCellStyle="Moeda"/>
    <tableColumn id="20" xr3:uid="{00000000-0010-0000-0A00-000014000000}" name="Data10" dataDxfId="60" totalsRowDxfId="59"/>
    <tableColumn id="33" xr3:uid="{00000000-0010-0000-0A00-000021000000}" name="Valor11" totalsRowFunction="sum" dataDxfId="58" totalsRowDxfId="57" dataCellStyle="Moeda"/>
    <tableColumn id="21" xr3:uid="{00000000-0010-0000-0A00-000015000000}" name="Data11" dataDxfId="56" totalsRowDxfId="55"/>
    <tableColumn id="34" xr3:uid="{00000000-0010-0000-0A00-000022000000}" name="Valor12" totalsRowFunction="sum" dataDxfId="54" totalsRowDxfId="53" dataCellStyle="Moeda"/>
    <tableColumn id="22" xr3:uid="{00000000-0010-0000-0A00-000016000000}" name="Data12" dataDxfId="52" totalsRowDxfId="51"/>
    <tableColumn id="35" xr3:uid="{00000000-0010-0000-0A00-000023000000}" name="Valor14" totalsRowFunction="sum" dataDxfId="50" totalsRowDxfId="49" dataCellStyle="Moeda"/>
    <tableColumn id="23" xr3:uid="{00000000-0010-0000-0A00-000017000000}" name="Data13" dataDxfId="48" totalsRowDxfId="47"/>
    <tableColumn id="36" xr3:uid="{00000000-0010-0000-0A00-000024000000}" name="Valor2" totalsRowFunction="sum" dataDxfId="46" totalsRowDxfId="45" dataCellStyle="Moed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D7BD5A2-7223-4D5F-98A8-4A1F62998F6F}" name="Tabela145678910111213" displayName="Tabela145678910111213" ref="B2:AL38" totalsRowCount="1" headerRowDxfId="758" dataDxfId="756" headerRowBorderDxfId="757" tableBorderDxfId="755" totalsRowBorderDxfId="754">
  <autoFilter ref="B2:AL37" xr:uid="{00000000-0009-0000-0100-00000B000000}"/>
  <tableColumns count="37">
    <tableColumn id="1" xr3:uid="{03EEEBEB-BA69-45AC-B9B1-6023983D039F}" name="Empresa" totalsRowLabel="Total" dataDxfId="753" totalsRowDxfId="36"/>
    <tableColumn id="2" xr3:uid="{41C58E7F-D56A-4B72-AFA1-C8FD0CD953D8}" name="Tipo do serviço prestado (contratado)" dataDxfId="752" totalsRowDxfId="35"/>
    <tableColumn id="3" xr3:uid="{1E54308E-72F7-43DB-9701-4F2B1AE40F81}" name="Data de assinatura" dataDxfId="751" totalsRowDxfId="34"/>
    <tableColumn id="24" xr3:uid="{04BAE3A2-DCBC-4079-B890-C2D206F0102E}" name="Último aditivo" dataDxfId="750" totalsRowDxfId="33"/>
    <tableColumn id="4" xr3:uid="{6692A6CA-43F3-49BD-86BE-0C9D7B197E42}" name="Vigência" dataDxfId="749" totalsRowDxfId="32"/>
    <tableColumn id="5" xr3:uid="{063D5480-3020-49D4-B73E-DFE0229D715D}" name="Renovação" dataDxfId="748" totalsRowDxfId="31"/>
    <tableColumn id="6" xr3:uid="{EDC5122D-9203-4261-B6DC-E328553D6C51}" name="Denúncia de cancelamento" dataDxfId="747" totalsRowDxfId="30"/>
    <tableColumn id="7" xr3:uid="{97493D0B-3F87-47F1-A5D1-9CD28A957771}" name="Valor atual" dataDxfId="746" totalsRowDxfId="29" dataCellStyle="Moeda"/>
    <tableColumn id="37" xr3:uid="{361EF25D-9B2D-4E14-8751-798281C32A21}" name="Contato" totalsRowDxfId="28"/>
    <tableColumn id="8" xr3:uid="{B8783E0E-B6F3-4D71-BC2B-EA28144583AD}" name="Pagamento" dataDxfId="745" totalsRowDxfId="27" dataCellStyle="Moeda"/>
    <tableColumn id="9" xr3:uid="{C859D18E-2722-4DB8-83C9-BB0F839F2674}" name="Responsável" dataDxfId="744" totalsRowDxfId="26"/>
    <tableColumn id="10" xr3:uid="{C0CA8D76-80DD-48E4-AC69-146F85CF48CB}" name="OBS" dataDxfId="743" totalsRowDxfId="25"/>
    <tableColumn id="38" xr3:uid="{116F87BC-BD64-4440-B136-E541AA378C7F}" name="Forma Pgto" dataDxfId="742" totalsRowDxfId="24"/>
    <tableColumn id="12" xr3:uid="{3ABD3E09-A178-4C8C-A4B3-5417490DED62}" name="Data2" dataDxfId="741" totalsRowDxfId="23"/>
    <tableColumn id="25" xr3:uid="{9E94190A-28CA-4C41-BE88-579BDD72D7F0}" name="Valor3" totalsRowFunction="custom" dataDxfId="740" totalsRowDxfId="22" dataCellStyle="Moeda">
      <totalsRowFormula>SUBTOTAL(9,P3:P37)</totalsRowFormula>
    </tableColumn>
    <tableColumn id="13" xr3:uid="{1A7BBBDB-3EFF-4193-8FA1-BEE8B380694D}" name="Data3" dataDxfId="739" totalsRowDxfId="21"/>
    <tableColumn id="26" xr3:uid="{87C90FAB-00FB-4F3F-A90A-3CCE8380ADE9}" name="Valor4" totalsRowFunction="custom" dataDxfId="738" totalsRowDxfId="20" dataCellStyle="Moeda">
      <totalsRowFormula>SUBTOTAL(9,R3:R37)</totalsRowFormula>
    </tableColumn>
    <tableColumn id="14" xr3:uid="{C4105CAF-F7D4-4864-BECA-2EEBA2A74BF5}" name="Data4" dataDxfId="737" totalsRowDxfId="19"/>
    <tableColumn id="27" xr3:uid="{94A303E0-6BC8-4789-8556-A89271D39928}" name="Valor5" totalsRowFunction="custom" dataDxfId="736" totalsRowDxfId="18" dataCellStyle="Moeda">
      <totalsRowFormula>SUBTOTAL(9,T3:T37)</totalsRowFormula>
    </tableColumn>
    <tableColumn id="15" xr3:uid="{22E6751E-B166-4E28-871A-78ACF24BEF6A}" name="Data5" dataDxfId="735" totalsRowDxfId="17"/>
    <tableColumn id="28" xr3:uid="{55F28EEB-4A5E-4682-AC46-8A6A4D2D5A1F}" name="Valor6" totalsRowFunction="custom" dataDxfId="734" totalsRowDxfId="16" dataCellStyle="Vírgula">
      <totalsRowFormula>SUBTOTAL(9,V3:V37)</totalsRowFormula>
    </tableColumn>
    <tableColumn id="16" xr3:uid="{578A3D5A-35AF-4398-AEB1-52B45589910F}" name="Data6" dataDxfId="733" totalsRowDxfId="15"/>
    <tableColumn id="29" xr3:uid="{1E663FC5-0B84-4F63-AD3B-D2B321653518}" name="Valor7" totalsRowFunction="custom" dataDxfId="732" totalsRowDxfId="14" dataCellStyle="Vírgula">
      <totalsRowFormula>SUBTOTAL(9,X3:X37)</totalsRowFormula>
    </tableColumn>
    <tableColumn id="17" xr3:uid="{4B2EFAAB-11B6-48A5-BD30-74716BB21807}" name="Data7" dataDxfId="731" totalsRowDxfId="13"/>
    <tableColumn id="30" xr3:uid="{DC006158-9DD5-416C-AB6F-6F1468670B88}" name="Valor8" totalsRowFunction="sum" dataDxfId="730" totalsRowDxfId="12" dataCellStyle="Moeda"/>
    <tableColumn id="18" xr3:uid="{78528424-F6BB-4086-80C1-A2696D19826D}" name="Data8" dataDxfId="729" totalsRowDxfId="11"/>
    <tableColumn id="31" xr3:uid="{0473A328-90D7-430D-9F23-5C314025826D}" name="Valor9" totalsRowFunction="sum" dataDxfId="728" totalsRowDxfId="10" dataCellStyle="Moeda"/>
    <tableColumn id="19" xr3:uid="{981AFF1C-10E4-4339-85A4-862DA732250C}" name="Data9" dataDxfId="727" totalsRowDxfId="9"/>
    <tableColumn id="32" xr3:uid="{EE5112F6-719D-43F0-B020-90E388277FB1}" name="Valor10" totalsRowFunction="sum" dataDxfId="726" totalsRowDxfId="8" dataCellStyle="Moeda"/>
    <tableColumn id="20" xr3:uid="{CE43F4A8-61C8-40F1-947A-A6B297B4F08A}" name="Data10" dataDxfId="725" totalsRowDxfId="7"/>
    <tableColumn id="33" xr3:uid="{E7C1EF19-D30D-4F79-8B02-7BB34813918E}" name="Valor11" totalsRowFunction="sum" dataDxfId="724" totalsRowDxfId="6" dataCellStyle="Moeda"/>
    <tableColumn id="21" xr3:uid="{06D5DA8A-6166-44B6-B60D-E6CC94C3077B}" name="Data11" dataDxfId="723" totalsRowDxfId="5"/>
    <tableColumn id="34" xr3:uid="{A774C4E9-D406-4E51-B27A-A6ACCCB3D696}" name="Valor12" totalsRowFunction="sum" dataDxfId="722" totalsRowDxfId="4" dataCellStyle="Moeda"/>
    <tableColumn id="22" xr3:uid="{30642963-1BDC-4029-96C9-483F77BAFD7A}" name="Data12" dataDxfId="721" totalsRowDxfId="3"/>
    <tableColumn id="35" xr3:uid="{C964F097-4DC1-49A1-91B8-08888827F308}" name="Valor14" totalsRowFunction="sum" dataDxfId="720" totalsRowDxfId="2" dataCellStyle="Moeda"/>
    <tableColumn id="23" xr3:uid="{B6A149E8-386F-4123-A773-97342B0D6EDD}" name="Data13" dataDxfId="719" totalsRowDxfId="1"/>
    <tableColumn id="36" xr3:uid="{CBDE9343-3E40-41D0-9145-2D17F27080F9}" name="Valor2" totalsRowFunction="sum" dataDxfId="718" totalsRowDxfId="0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K24"/>
  <sheetViews>
    <sheetView workbookViewId="0">
      <selection activeCell="A13" sqref="A13"/>
    </sheetView>
  </sheetViews>
  <sheetFormatPr defaultRowHeight="15" x14ac:dyDescent="0.25"/>
  <cols>
    <col min="1" max="1" width="20.42578125" customWidth="1"/>
    <col min="2" max="8" width="19.140625" bestFit="1" customWidth="1"/>
    <col min="9" max="11" width="20.140625" bestFit="1" customWidth="1"/>
  </cols>
  <sheetData>
    <row r="1" spans="1:11" x14ac:dyDescent="0.25">
      <c r="A1" s="149" t="s">
        <v>285</v>
      </c>
      <c r="B1" t="s">
        <v>287</v>
      </c>
      <c r="C1" t="s">
        <v>288</v>
      </c>
      <c r="D1" t="s">
        <v>289</v>
      </c>
      <c r="E1" t="s">
        <v>290</v>
      </c>
      <c r="F1" t="s">
        <v>291</v>
      </c>
      <c r="G1" t="s">
        <v>292</v>
      </c>
      <c r="H1" t="s">
        <v>293</v>
      </c>
      <c r="I1" t="s">
        <v>294</v>
      </c>
      <c r="J1" t="s">
        <v>295</v>
      </c>
      <c r="K1" t="s">
        <v>296</v>
      </c>
    </row>
    <row r="2" spans="1:11" x14ac:dyDescent="0.25">
      <c r="A2" s="150" t="s">
        <v>150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</row>
    <row r="3" spans="1:11" x14ac:dyDescent="0.25">
      <c r="A3" s="150" t="s">
        <v>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1" x14ac:dyDescent="0.25">
      <c r="A4" s="150" t="s">
        <v>142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</row>
    <row r="5" spans="1:11" x14ac:dyDescent="0.25">
      <c r="A5" s="150" t="s">
        <v>38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</row>
    <row r="6" spans="1:11" x14ac:dyDescent="0.25">
      <c r="A6" s="150" t="s">
        <v>83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 spans="1:11" x14ac:dyDescent="0.25">
      <c r="A7" s="150" t="s">
        <v>37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11" x14ac:dyDescent="0.25">
      <c r="A8" s="150" t="s">
        <v>62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</row>
    <row r="9" spans="1:11" x14ac:dyDescent="0.25">
      <c r="A9" s="150" t="s">
        <v>39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</row>
    <row r="10" spans="1:11" x14ac:dyDescent="0.25">
      <c r="A10" s="150" t="s">
        <v>64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</row>
    <row r="11" spans="1:11" x14ac:dyDescent="0.25">
      <c r="A11" s="150" t="s">
        <v>158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</row>
    <row r="12" spans="1:11" x14ac:dyDescent="0.25">
      <c r="A12" s="150" t="s">
        <v>43</v>
      </c>
      <c r="B12">
        <v>1</v>
      </c>
      <c r="C12">
        <v>1</v>
      </c>
    </row>
    <row r="13" spans="1:11" x14ac:dyDescent="0.25">
      <c r="A13" s="150" t="s">
        <v>24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</row>
    <row r="14" spans="1:11" x14ac:dyDescent="0.25">
      <c r="A14" s="150" t="s">
        <v>63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</row>
    <row r="15" spans="1:11" x14ac:dyDescent="0.25">
      <c r="A15" s="150" t="s">
        <v>167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1:11" x14ac:dyDescent="0.25">
      <c r="A16" s="150" t="s">
        <v>160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</row>
    <row r="17" spans="1:11" x14ac:dyDescent="0.25">
      <c r="A17" s="150" t="s">
        <v>168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</row>
    <row r="18" spans="1:11" x14ac:dyDescent="0.25">
      <c r="A18" s="150" t="s">
        <v>44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 x14ac:dyDescent="0.25">
      <c r="A19" s="150" t="s">
        <v>95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</row>
    <row r="20" spans="1:11" x14ac:dyDescent="0.25">
      <c r="A20" s="150" t="s">
        <v>42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</row>
    <row r="21" spans="1:11" x14ac:dyDescent="0.25">
      <c r="A21" s="150" t="s">
        <v>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</row>
    <row r="22" spans="1:11" x14ac:dyDescent="0.25">
      <c r="A22" s="150" t="s">
        <v>17</v>
      </c>
      <c r="H22">
        <v>1</v>
      </c>
      <c r="I22">
        <v>1</v>
      </c>
    </row>
    <row r="23" spans="1:11" x14ac:dyDescent="0.25">
      <c r="A23" s="150" t="s">
        <v>163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</row>
    <row r="24" spans="1:11" x14ac:dyDescent="0.25">
      <c r="A24" s="150" t="s">
        <v>286</v>
      </c>
      <c r="B24">
        <v>21</v>
      </c>
      <c r="C24">
        <v>21</v>
      </c>
      <c r="D24">
        <v>20</v>
      </c>
      <c r="E24">
        <v>20</v>
      </c>
      <c r="F24">
        <v>20</v>
      </c>
      <c r="G24">
        <v>20</v>
      </c>
      <c r="H24">
        <v>21</v>
      </c>
      <c r="I24">
        <v>21</v>
      </c>
      <c r="J24">
        <v>10</v>
      </c>
      <c r="K24">
        <v>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>
    <pageSetUpPr fitToPage="1"/>
  </sheetPr>
  <dimension ref="A1:I45"/>
  <sheetViews>
    <sheetView zoomScaleNormal="100" workbookViewId="0">
      <pane ySplit="5" topLeftCell="A6" activePane="bottomLeft" state="frozen"/>
      <selection pane="bottomLeft" activeCell="B42" sqref="B42"/>
    </sheetView>
  </sheetViews>
  <sheetFormatPr defaultColWidth="9.140625" defaultRowHeight="15" x14ac:dyDescent="0.25"/>
  <cols>
    <col min="1" max="1" width="25.28515625" style="1" customWidth="1"/>
    <col min="2" max="2" width="39.7109375" style="1" customWidth="1"/>
    <col min="3" max="3" width="12" style="1" customWidth="1"/>
    <col min="4" max="4" width="14.42578125" style="1" bestFit="1" customWidth="1"/>
    <col min="5" max="5" width="23" style="1" bestFit="1" customWidth="1"/>
    <col min="6" max="6" width="14.140625" style="1" customWidth="1"/>
    <col min="7" max="7" width="13.85546875" style="8" customWidth="1"/>
    <col min="8" max="8" width="14.42578125" style="1" bestFit="1" customWidth="1"/>
    <col min="9" max="9" width="26.28515625" style="1" bestFit="1" customWidth="1"/>
    <col min="10" max="16384" width="9.140625" style="1"/>
  </cols>
  <sheetData>
    <row r="1" spans="1:9" ht="18.75" x14ac:dyDescent="0.25">
      <c r="A1" s="174" t="s">
        <v>69</v>
      </c>
      <c r="B1" s="174"/>
      <c r="C1" s="174"/>
      <c r="D1" s="174"/>
      <c r="E1" s="174"/>
      <c r="F1" s="174"/>
      <c r="G1" s="174"/>
      <c r="H1" s="174"/>
    </row>
    <row r="2" spans="1:9" x14ac:dyDescent="0.25">
      <c r="A2" s="1" t="s">
        <v>70</v>
      </c>
      <c r="B2" s="1" t="s">
        <v>71</v>
      </c>
      <c r="C2" s="1" t="s">
        <v>72</v>
      </c>
      <c r="D2" s="1" t="s">
        <v>73</v>
      </c>
      <c r="E2" s="1" t="s">
        <v>74</v>
      </c>
      <c r="F2" s="1" t="s">
        <v>75</v>
      </c>
      <c r="G2" s="8" t="s">
        <v>76</v>
      </c>
      <c r="H2" s="1" t="s">
        <v>77</v>
      </c>
      <c r="I2" s="1" t="s">
        <v>94</v>
      </c>
    </row>
    <row r="3" spans="1:9" x14ac:dyDescent="0.25">
      <c r="I3" s="23"/>
    </row>
    <row r="4" spans="1:9" ht="15.75" x14ac:dyDescent="0.25">
      <c r="A4" s="14" t="s">
        <v>60</v>
      </c>
      <c r="B4" s="9"/>
      <c r="C4" s="9"/>
      <c r="D4" s="9"/>
      <c r="E4" s="9"/>
      <c r="F4" s="9"/>
      <c r="G4" s="9"/>
      <c r="H4" s="10"/>
      <c r="I4" s="2"/>
    </row>
    <row r="5" spans="1:9" s="13" customFormat="1" ht="30" x14ac:dyDescent="0.25">
      <c r="A5" s="11" t="s">
        <v>0</v>
      </c>
      <c r="B5" s="11" t="s">
        <v>5</v>
      </c>
      <c r="C5" s="11" t="s">
        <v>3</v>
      </c>
      <c r="D5" s="11" t="s">
        <v>1</v>
      </c>
      <c r="E5" s="11" t="s">
        <v>8</v>
      </c>
      <c r="F5" s="11" t="s">
        <v>2</v>
      </c>
      <c r="G5" s="12" t="s">
        <v>79</v>
      </c>
      <c r="H5" s="11" t="s">
        <v>19</v>
      </c>
      <c r="I5" s="2" t="s">
        <v>105</v>
      </c>
    </row>
    <row r="6" spans="1:9" ht="30" x14ac:dyDescent="0.25">
      <c r="A6" s="2" t="s">
        <v>18</v>
      </c>
      <c r="B6" s="2" t="s">
        <v>4</v>
      </c>
      <c r="C6" s="3">
        <v>41609</v>
      </c>
      <c r="D6" s="2" t="s">
        <v>6</v>
      </c>
      <c r="E6" s="2" t="s">
        <v>12</v>
      </c>
      <c r="F6" s="2" t="s">
        <v>7</v>
      </c>
      <c r="G6" s="4">
        <v>1952.22</v>
      </c>
      <c r="H6" s="2" t="s">
        <v>20</v>
      </c>
      <c r="I6" s="6"/>
    </row>
    <row r="7" spans="1:9" x14ac:dyDescent="0.25">
      <c r="A7" s="2" t="s">
        <v>9</v>
      </c>
      <c r="B7" s="2" t="s">
        <v>10</v>
      </c>
      <c r="C7" s="3">
        <v>41644</v>
      </c>
      <c r="D7" s="2" t="s">
        <v>13</v>
      </c>
      <c r="E7" s="2" t="s">
        <v>14</v>
      </c>
      <c r="F7" s="2" t="s">
        <v>7</v>
      </c>
      <c r="G7" s="4">
        <v>4200</v>
      </c>
      <c r="H7" s="2" t="s">
        <v>78</v>
      </c>
      <c r="I7" s="6" t="s">
        <v>99</v>
      </c>
    </row>
    <row r="8" spans="1:9" x14ac:dyDescent="0.25">
      <c r="A8" s="2" t="s">
        <v>17</v>
      </c>
      <c r="B8" s="2" t="s">
        <v>11</v>
      </c>
      <c r="C8" s="3">
        <v>42156</v>
      </c>
      <c r="D8" s="2" t="s">
        <v>13</v>
      </c>
      <c r="E8" s="2" t="s">
        <v>14</v>
      </c>
      <c r="F8" s="2" t="s">
        <v>15</v>
      </c>
      <c r="G8" s="4">
        <v>740</v>
      </c>
      <c r="H8" s="2" t="s">
        <v>100</v>
      </c>
      <c r="I8" s="6"/>
    </row>
    <row r="9" spans="1:9" ht="30" x14ac:dyDescent="0.25">
      <c r="A9" s="2" t="s">
        <v>16</v>
      </c>
      <c r="B9" s="2" t="s">
        <v>21</v>
      </c>
      <c r="C9" s="3">
        <v>38936</v>
      </c>
      <c r="D9" s="2" t="s">
        <v>13</v>
      </c>
      <c r="E9" s="2" t="s">
        <v>12</v>
      </c>
      <c r="F9" s="2" t="s">
        <v>7</v>
      </c>
      <c r="G9" s="4">
        <f>180+48</f>
        <v>228</v>
      </c>
      <c r="H9" s="2" t="s">
        <v>100</v>
      </c>
      <c r="I9" s="6"/>
    </row>
    <row r="10" spans="1:9" ht="30" x14ac:dyDescent="0.25">
      <c r="A10" s="2" t="s">
        <v>22</v>
      </c>
      <c r="B10" s="2" t="s">
        <v>23</v>
      </c>
      <c r="C10" s="5">
        <v>2013</v>
      </c>
      <c r="D10" s="2" t="s">
        <v>6</v>
      </c>
      <c r="E10" s="2" t="s">
        <v>6</v>
      </c>
      <c r="F10" s="2" t="s">
        <v>7</v>
      </c>
      <c r="G10" s="4">
        <v>200</v>
      </c>
      <c r="H10" s="2" t="s">
        <v>20</v>
      </c>
      <c r="I10" s="6"/>
    </row>
    <row r="11" spans="1:9" x14ac:dyDescent="0.25">
      <c r="A11" s="6" t="s">
        <v>24</v>
      </c>
      <c r="B11" s="2" t="s">
        <v>25</v>
      </c>
      <c r="C11" s="5">
        <v>2017</v>
      </c>
      <c r="D11" s="2"/>
      <c r="E11" s="2"/>
      <c r="F11" s="2"/>
      <c r="G11" s="4">
        <v>580</v>
      </c>
      <c r="H11" s="2" t="s">
        <v>78</v>
      </c>
      <c r="I11" s="6"/>
    </row>
    <row r="12" spans="1:9" x14ac:dyDescent="0.25">
      <c r="A12" s="2" t="s">
        <v>26</v>
      </c>
      <c r="B12" s="2" t="s">
        <v>27</v>
      </c>
      <c r="C12" s="3">
        <v>42675</v>
      </c>
      <c r="D12" s="2" t="s">
        <v>28</v>
      </c>
      <c r="E12" s="2" t="s">
        <v>6</v>
      </c>
      <c r="F12" s="2" t="s">
        <v>29</v>
      </c>
      <c r="G12" s="4" t="s">
        <v>30</v>
      </c>
      <c r="H12" s="2" t="s">
        <v>78</v>
      </c>
      <c r="I12" s="6"/>
    </row>
    <row r="13" spans="1:9" x14ac:dyDescent="0.25">
      <c r="A13" s="2" t="s">
        <v>31</v>
      </c>
      <c r="B13" s="2" t="s">
        <v>32</v>
      </c>
      <c r="C13" s="3">
        <v>42894</v>
      </c>
      <c r="D13" s="2" t="s">
        <v>33</v>
      </c>
      <c r="E13" s="2" t="s">
        <v>34</v>
      </c>
      <c r="F13" s="2" t="s">
        <v>7</v>
      </c>
      <c r="G13" s="4">
        <v>1392</v>
      </c>
      <c r="H13" s="2" t="s">
        <v>78</v>
      </c>
      <c r="I13" s="6"/>
    </row>
    <row r="14" spans="1:9" x14ac:dyDescent="0.25">
      <c r="A14" s="2" t="s">
        <v>35</v>
      </c>
      <c r="B14" s="2" t="s">
        <v>36</v>
      </c>
      <c r="C14" s="3">
        <v>41620</v>
      </c>
      <c r="D14" s="2" t="s">
        <v>6</v>
      </c>
      <c r="E14" s="2" t="s">
        <v>6</v>
      </c>
      <c r="F14" s="2" t="s">
        <v>7</v>
      </c>
      <c r="G14" s="4">
        <f>95+39.9</f>
        <v>134.9</v>
      </c>
      <c r="H14" s="2" t="s">
        <v>20</v>
      </c>
      <c r="I14" s="6"/>
    </row>
    <row r="15" spans="1:9" x14ac:dyDescent="0.25">
      <c r="A15" s="2" t="s">
        <v>35</v>
      </c>
      <c r="B15" s="2" t="s">
        <v>40</v>
      </c>
      <c r="C15" s="3">
        <v>41620</v>
      </c>
      <c r="D15" s="2" t="s">
        <v>6</v>
      </c>
      <c r="E15" s="2" t="s">
        <v>6</v>
      </c>
      <c r="F15" s="2" t="s">
        <v>15</v>
      </c>
      <c r="G15" s="4" t="s">
        <v>41</v>
      </c>
      <c r="H15" s="2" t="s">
        <v>20</v>
      </c>
      <c r="I15" s="6"/>
    </row>
    <row r="16" spans="1:9" x14ac:dyDescent="0.25">
      <c r="A16" s="2" t="s">
        <v>42</v>
      </c>
      <c r="B16" s="2" t="s">
        <v>85</v>
      </c>
      <c r="C16" s="3">
        <v>40606</v>
      </c>
      <c r="D16" s="2" t="s">
        <v>13</v>
      </c>
      <c r="E16" s="2" t="s">
        <v>12</v>
      </c>
      <c r="F16" s="2" t="s">
        <v>7</v>
      </c>
      <c r="G16" s="21">
        <v>468</v>
      </c>
      <c r="H16" s="2" t="s">
        <v>78</v>
      </c>
      <c r="I16" s="22"/>
    </row>
    <row r="17" spans="1:9" x14ac:dyDescent="0.25">
      <c r="A17" s="15" t="s">
        <v>80</v>
      </c>
      <c r="B17" s="16" t="s">
        <v>81</v>
      </c>
      <c r="C17" s="17"/>
      <c r="D17" s="16" t="s">
        <v>6</v>
      </c>
      <c r="E17" s="16" t="s">
        <v>89</v>
      </c>
      <c r="F17" s="16"/>
      <c r="G17" s="18">
        <v>2150</v>
      </c>
      <c r="H17" s="19" t="s">
        <v>82</v>
      </c>
      <c r="I17" s="6"/>
    </row>
    <row r="18" spans="1:9" x14ac:dyDescent="0.25">
      <c r="A18" s="15" t="s">
        <v>83</v>
      </c>
      <c r="B18" s="16" t="s">
        <v>84</v>
      </c>
      <c r="C18" s="17"/>
      <c r="D18" s="20">
        <v>44013</v>
      </c>
      <c r="E18" s="16"/>
      <c r="F18" s="16"/>
      <c r="G18" s="18">
        <v>2253.75</v>
      </c>
      <c r="H18" s="19" t="s">
        <v>78</v>
      </c>
      <c r="I18" s="6"/>
    </row>
    <row r="19" spans="1:9" x14ac:dyDescent="0.25">
      <c r="A19" s="15" t="s">
        <v>44</v>
      </c>
      <c r="B19" s="16" t="s">
        <v>86</v>
      </c>
      <c r="C19" s="17"/>
      <c r="D19" s="16" t="s">
        <v>6</v>
      </c>
      <c r="E19" s="16" t="s">
        <v>89</v>
      </c>
      <c r="F19" s="16"/>
      <c r="G19" s="18">
        <v>1081.6099999999999</v>
      </c>
      <c r="H19" s="19" t="s">
        <v>78</v>
      </c>
      <c r="I19" s="6" t="s">
        <v>93</v>
      </c>
    </row>
    <row r="20" spans="1:9" x14ac:dyDescent="0.25">
      <c r="A20" s="15" t="s">
        <v>87</v>
      </c>
      <c r="B20" s="16" t="s">
        <v>88</v>
      </c>
      <c r="C20" s="17"/>
      <c r="D20" s="16" t="s">
        <v>6</v>
      </c>
      <c r="E20" s="16" t="s">
        <v>89</v>
      </c>
      <c r="F20" s="16"/>
      <c r="G20" s="18">
        <v>297.77</v>
      </c>
      <c r="H20" s="19" t="s">
        <v>90</v>
      </c>
      <c r="I20" s="6"/>
    </row>
    <row r="21" spans="1:9" x14ac:dyDescent="0.25">
      <c r="A21" s="15" t="s">
        <v>91</v>
      </c>
      <c r="B21" s="16" t="s">
        <v>92</v>
      </c>
      <c r="C21" s="17"/>
      <c r="D21" s="16" t="s">
        <v>6</v>
      </c>
      <c r="E21" s="16" t="s">
        <v>89</v>
      </c>
      <c r="F21" s="16"/>
      <c r="G21" s="18">
        <v>722.62</v>
      </c>
      <c r="H21" s="19" t="s">
        <v>90</v>
      </c>
      <c r="I21" s="6"/>
    </row>
    <row r="22" spans="1:9" x14ac:dyDescent="0.25">
      <c r="A22" s="15" t="s">
        <v>95</v>
      </c>
      <c r="B22" s="16" t="s">
        <v>96</v>
      </c>
      <c r="C22" s="17"/>
      <c r="D22" s="16" t="s">
        <v>6</v>
      </c>
      <c r="E22" s="16" t="s">
        <v>89</v>
      </c>
      <c r="F22" s="16"/>
      <c r="G22" s="18">
        <v>220</v>
      </c>
      <c r="H22" s="19" t="s">
        <v>78</v>
      </c>
      <c r="I22" s="6" t="s">
        <v>93</v>
      </c>
    </row>
    <row r="23" spans="1:9" x14ac:dyDescent="0.25">
      <c r="A23" s="15" t="s">
        <v>97</v>
      </c>
      <c r="B23" s="16" t="s">
        <v>98</v>
      </c>
      <c r="C23" s="17"/>
      <c r="D23" s="20">
        <v>43252</v>
      </c>
      <c r="E23" s="16"/>
      <c r="F23" s="16"/>
      <c r="G23" s="18">
        <v>1000</v>
      </c>
      <c r="H23" s="19" t="s">
        <v>82</v>
      </c>
      <c r="I23" s="6"/>
    </row>
    <row r="24" spans="1:9" x14ac:dyDescent="0.25">
      <c r="A24" s="15" t="s">
        <v>101</v>
      </c>
      <c r="B24" s="16" t="s">
        <v>102</v>
      </c>
      <c r="C24" s="17"/>
      <c r="D24" s="20"/>
      <c r="E24" s="16"/>
      <c r="F24" s="16"/>
      <c r="G24" s="18"/>
      <c r="H24" s="19" t="s">
        <v>82</v>
      </c>
      <c r="I24" s="6"/>
    </row>
    <row r="25" spans="1:9" x14ac:dyDescent="0.25">
      <c r="A25" s="15" t="s">
        <v>43</v>
      </c>
      <c r="B25" s="16" t="s">
        <v>103</v>
      </c>
      <c r="C25" s="17"/>
      <c r="D25" s="20"/>
      <c r="E25" s="16"/>
      <c r="F25" s="16"/>
      <c r="G25" s="18"/>
      <c r="H25" s="19" t="s">
        <v>78</v>
      </c>
      <c r="I25" s="6" t="s">
        <v>93</v>
      </c>
    </row>
    <row r="26" spans="1:9" x14ac:dyDescent="0.25">
      <c r="A26" s="15" t="s">
        <v>37</v>
      </c>
      <c r="B26" s="16"/>
      <c r="C26" s="17"/>
      <c r="D26" s="20"/>
      <c r="E26" s="16"/>
      <c r="F26" s="16"/>
      <c r="G26" s="18"/>
      <c r="H26" s="19"/>
      <c r="I26" s="6" t="s">
        <v>104</v>
      </c>
    </row>
    <row r="27" spans="1:9" x14ac:dyDescent="0.25">
      <c r="A27" s="15" t="s">
        <v>38</v>
      </c>
      <c r="B27" s="16"/>
      <c r="C27" s="17"/>
      <c r="D27" s="20"/>
      <c r="E27" s="16"/>
      <c r="F27" s="16"/>
      <c r="G27" s="18"/>
      <c r="H27" s="19"/>
      <c r="I27" s="6" t="s">
        <v>104</v>
      </c>
    </row>
    <row r="28" spans="1:9" x14ac:dyDescent="0.25">
      <c r="A28" s="15" t="s">
        <v>39</v>
      </c>
      <c r="B28" s="16"/>
      <c r="C28" s="17"/>
      <c r="D28" s="20"/>
      <c r="E28" s="16"/>
      <c r="F28" s="16"/>
      <c r="G28" s="18"/>
      <c r="H28" s="19"/>
      <c r="I28" s="6" t="s">
        <v>104</v>
      </c>
    </row>
    <row r="29" spans="1:9" ht="15.75" x14ac:dyDescent="0.25">
      <c r="A29" s="14" t="s">
        <v>61</v>
      </c>
      <c r="B29" s="9"/>
      <c r="C29" s="9"/>
      <c r="D29" s="9"/>
      <c r="E29" s="9"/>
      <c r="F29" s="9"/>
      <c r="G29" s="9"/>
      <c r="H29" s="10"/>
      <c r="I29" s="2"/>
    </row>
    <row r="30" spans="1:9" x14ac:dyDescent="0.25">
      <c r="A30" s="2" t="s">
        <v>45</v>
      </c>
      <c r="B30" s="2" t="s">
        <v>46</v>
      </c>
      <c r="C30" s="3">
        <v>42943</v>
      </c>
      <c r="D30" s="2"/>
      <c r="E30" s="2"/>
      <c r="F30" s="2"/>
      <c r="G30" s="4">
        <v>10500</v>
      </c>
      <c r="H30" s="2" t="s">
        <v>47</v>
      </c>
      <c r="I30" s="2"/>
    </row>
    <row r="31" spans="1:9" x14ac:dyDescent="0.25">
      <c r="A31" s="2" t="s">
        <v>48</v>
      </c>
      <c r="B31" s="2" t="s">
        <v>49</v>
      </c>
      <c r="C31" s="3">
        <v>42913</v>
      </c>
      <c r="D31" s="2"/>
      <c r="E31" s="2"/>
      <c r="F31" s="2"/>
      <c r="G31" s="4">
        <v>65000</v>
      </c>
      <c r="H31" s="2" t="s">
        <v>47</v>
      </c>
      <c r="I31" s="2"/>
    </row>
    <row r="32" spans="1:9" x14ac:dyDescent="0.25">
      <c r="A32" s="2" t="s">
        <v>50</v>
      </c>
      <c r="B32" s="2" t="s">
        <v>51</v>
      </c>
      <c r="C32" s="3">
        <v>42480</v>
      </c>
      <c r="D32" s="2"/>
      <c r="E32" s="2"/>
      <c r="F32" s="2"/>
      <c r="G32" s="4">
        <v>4500</v>
      </c>
      <c r="H32" s="2" t="s">
        <v>47</v>
      </c>
      <c r="I32" s="2"/>
    </row>
    <row r="33" spans="1:9" x14ac:dyDescent="0.25">
      <c r="A33" s="2" t="s">
        <v>52</v>
      </c>
      <c r="B33" s="2" t="s">
        <v>53</v>
      </c>
      <c r="C33" s="3">
        <v>42975</v>
      </c>
      <c r="D33" s="2"/>
      <c r="E33" s="2"/>
      <c r="F33" s="2"/>
      <c r="G33" s="4">
        <v>112000</v>
      </c>
      <c r="H33" s="2" t="s">
        <v>59</v>
      </c>
      <c r="I33" s="2"/>
    </row>
    <row r="34" spans="1:9" ht="30" x14ac:dyDescent="0.25">
      <c r="A34" s="2" t="s">
        <v>54</v>
      </c>
      <c r="B34" s="2" t="s">
        <v>55</v>
      </c>
      <c r="C34" s="3">
        <v>38957</v>
      </c>
      <c r="D34" s="2"/>
      <c r="E34" s="2"/>
      <c r="F34" s="2"/>
      <c r="G34" s="4">
        <v>29000</v>
      </c>
      <c r="H34" s="2"/>
      <c r="I34" s="2"/>
    </row>
    <row r="35" spans="1:9" ht="30" x14ac:dyDescent="0.25">
      <c r="A35" s="2" t="s">
        <v>56</v>
      </c>
      <c r="B35" s="2" t="s">
        <v>57</v>
      </c>
      <c r="C35" s="3">
        <v>42845</v>
      </c>
      <c r="D35" s="2"/>
      <c r="E35" s="2"/>
      <c r="F35" s="2"/>
      <c r="G35" s="4">
        <v>10000</v>
      </c>
      <c r="H35" s="2"/>
      <c r="I35" s="2"/>
    </row>
    <row r="36" spans="1:9" ht="45" x14ac:dyDescent="0.25">
      <c r="A36" s="2" t="s">
        <v>58</v>
      </c>
      <c r="B36" s="2" t="s">
        <v>67</v>
      </c>
      <c r="C36" s="3">
        <v>41359</v>
      </c>
      <c r="D36" s="2"/>
      <c r="E36" s="2"/>
      <c r="F36" s="2"/>
      <c r="G36" s="4">
        <v>21000</v>
      </c>
      <c r="H36" s="2" t="s">
        <v>59</v>
      </c>
      <c r="I36" s="2"/>
    </row>
    <row r="37" spans="1:9" x14ac:dyDescent="0.25">
      <c r="A37" s="2" t="s">
        <v>64</v>
      </c>
      <c r="B37" s="2" t="s">
        <v>68</v>
      </c>
      <c r="C37" s="2"/>
      <c r="D37" s="2"/>
      <c r="E37" s="2"/>
      <c r="F37" s="2"/>
      <c r="G37" s="4"/>
      <c r="H37" s="2" t="s">
        <v>59</v>
      </c>
      <c r="I37" s="2"/>
    </row>
    <row r="38" spans="1:9" x14ac:dyDescent="0.25">
      <c r="A38" s="2" t="s">
        <v>62</v>
      </c>
      <c r="B38" s="2" t="s">
        <v>65</v>
      </c>
      <c r="C38" s="2"/>
      <c r="D38" s="2"/>
      <c r="E38" s="2"/>
      <c r="F38" s="2"/>
      <c r="G38" s="4"/>
      <c r="H38" s="2" t="s">
        <v>59</v>
      </c>
      <c r="I38" s="2"/>
    </row>
    <row r="39" spans="1:9" x14ac:dyDescent="0.25">
      <c r="A39" s="2" t="s">
        <v>63</v>
      </c>
      <c r="B39" s="2" t="s">
        <v>66</v>
      </c>
      <c r="C39" s="2"/>
      <c r="D39" s="2"/>
      <c r="E39" s="2"/>
      <c r="F39" s="2"/>
      <c r="G39" s="4"/>
      <c r="H39" s="2" t="s">
        <v>59</v>
      </c>
      <c r="I39" s="2"/>
    </row>
    <row r="40" spans="1:9" x14ac:dyDescent="0.25">
      <c r="F40" s="7"/>
      <c r="G40" s="1"/>
    </row>
    <row r="41" spans="1:9" x14ac:dyDescent="0.25">
      <c r="F41" s="8"/>
      <c r="G41" s="1"/>
    </row>
    <row r="42" spans="1:9" x14ac:dyDescent="0.25">
      <c r="F42" s="8"/>
      <c r="G42" s="1"/>
    </row>
    <row r="43" spans="1:9" x14ac:dyDescent="0.25">
      <c r="F43" s="8"/>
      <c r="G43" s="1"/>
    </row>
    <row r="44" spans="1:9" x14ac:dyDescent="0.25">
      <c r="F44" s="8"/>
      <c r="G44" s="1"/>
    </row>
    <row r="45" spans="1:9" x14ac:dyDescent="0.25">
      <c r="F45" s="8"/>
      <c r="G45" s="1"/>
    </row>
  </sheetData>
  <mergeCells count="1">
    <mergeCell ref="A1:H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3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:J37"/>
  <sheetViews>
    <sheetView zoomScaleNormal="100" workbookViewId="0">
      <selection activeCell="H8" sqref="H8"/>
    </sheetView>
  </sheetViews>
  <sheetFormatPr defaultColWidth="9.140625" defaultRowHeight="15" x14ac:dyDescent="0.25"/>
  <cols>
    <col min="1" max="1" width="22" style="1" bestFit="1" customWidth="1"/>
    <col min="2" max="2" width="41.7109375" style="1" customWidth="1"/>
    <col min="3" max="3" width="14.5703125" style="24" bestFit="1" customWidth="1"/>
    <col min="4" max="4" width="14.42578125" style="24" bestFit="1" customWidth="1"/>
    <col min="5" max="5" width="23" style="1" bestFit="1" customWidth="1"/>
    <col min="6" max="6" width="18.140625" style="1" bestFit="1" customWidth="1"/>
    <col min="7" max="7" width="13.7109375" style="8" bestFit="1" customWidth="1"/>
    <col min="8" max="8" width="14" style="8" customWidth="1"/>
    <col min="9" max="9" width="16.7109375" style="1" bestFit="1" customWidth="1"/>
    <col min="10" max="10" width="26.28515625" style="1" bestFit="1" customWidth="1"/>
    <col min="11" max="16384" width="9.140625" style="1"/>
  </cols>
  <sheetData>
    <row r="1" spans="1:10" x14ac:dyDescent="0.25">
      <c r="A1" s="175" t="s">
        <v>69</v>
      </c>
      <c r="B1" s="175"/>
      <c r="C1" s="175"/>
      <c r="D1" s="175"/>
      <c r="E1" s="175"/>
      <c r="F1" s="175"/>
      <c r="G1" s="175"/>
      <c r="H1" s="175"/>
      <c r="I1" s="175"/>
      <c r="J1" s="175"/>
    </row>
    <row r="2" spans="1:10" x14ac:dyDescent="0.25">
      <c r="A2" s="176" t="s">
        <v>60</v>
      </c>
      <c r="B2" s="176"/>
      <c r="C2" s="176"/>
      <c r="D2" s="176"/>
      <c r="E2" s="176"/>
      <c r="F2" s="176"/>
      <c r="G2" s="176"/>
      <c r="H2" s="176"/>
      <c r="I2" s="176"/>
      <c r="J2" s="176"/>
    </row>
    <row r="3" spans="1:10" s="13" customFormat="1" ht="30" x14ac:dyDescent="0.25">
      <c r="A3" s="30" t="s">
        <v>0</v>
      </c>
      <c r="B3" s="31" t="s">
        <v>5</v>
      </c>
      <c r="C3" s="32" t="s">
        <v>3</v>
      </c>
      <c r="D3" s="32" t="s">
        <v>1</v>
      </c>
      <c r="E3" s="31" t="s">
        <v>8</v>
      </c>
      <c r="F3" s="31" t="s">
        <v>2</v>
      </c>
      <c r="G3" s="33" t="s">
        <v>79</v>
      </c>
      <c r="H3" s="33" t="s">
        <v>107</v>
      </c>
      <c r="I3" s="31" t="s">
        <v>19</v>
      </c>
      <c r="J3" s="34" t="s">
        <v>105</v>
      </c>
    </row>
    <row r="4" spans="1:10" ht="30" x14ac:dyDescent="0.25">
      <c r="A4" s="19" t="s">
        <v>18</v>
      </c>
      <c r="B4" s="2" t="s">
        <v>4</v>
      </c>
      <c r="C4" s="3">
        <v>41609</v>
      </c>
      <c r="D4" s="3" t="s">
        <v>6</v>
      </c>
      <c r="E4" s="2" t="s">
        <v>12</v>
      </c>
      <c r="F4" s="2" t="s">
        <v>7</v>
      </c>
      <c r="G4" s="4">
        <v>1952.22</v>
      </c>
      <c r="H4" s="4"/>
      <c r="I4" s="2" t="s">
        <v>20</v>
      </c>
      <c r="J4" s="15"/>
    </row>
    <row r="5" spans="1:10" x14ac:dyDescent="0.25">
      <c r="A5" s="28" t="s">
        <v>9</v>
      </c>
      <c r="B5" s="25" t="s">
        <v>10</v>
      </c>
      <c r="C5" s="26">
        <v>41644</v>
      </c>
      <c r="D5" s="26" t="s">
        <v>13</v>
      </c>
      <c r="E5" s="25" t="s">
        <v>14</v>
      </c>
      <c r="F5" s="25" t="s">
        <v>7</v>
      </c>
      <c r="G5" s="27">
        <v>4200</v>
      </c>
      <c r="H5" s="27"/>
      <c r="I5" s="25" t="s">
        <v>78</v>
      </c>
      <c r="J5" s="29" t="s">
        <v>99</v>
      </c>
    </row>
    <row r="6" spans="1:10" x14ac:dyDescent="0.25">
      <c r="A6" s="19" t="s">
        <v>17</v>
      </c>
      <c r="B6" s="2" t="s">
        <v>11</v>
      </c>
      <c r="C6" s="3">
        <v>42156</v>
      </c>
      <c r="D6" s="3" t="s">
        <v>13</v>
      </c>
      <c r="E6" s="2" t="s">
        <v>14</v>
      </c>
      <c r="F6" s="2" t="s">
        <v>15</v>
      </c>
      <c r="G6" s="4">
        <v>740</v>
      </c>
      <c r="H6" s="4"/>
      <c r="I6" s="2" t="s">
        <v>100</v>
      </c>
      <c r="J6" s="15"/>
    </row>
    <row r="7" spans="1:10" ht="30" x14ac:dyDescent="0.25">
      <c r="A7" s="19" t="s">
        <v>16</v>
      </c>
      <c r="B7" s="2" t="s">
        <v>21</v>
      </c>
      <c r="C7" s="3">
        <v>38936</v>
      </c>
      <c r="D7" s="3" t="s">
        <v>13</v>
      </c>
      <c r="E7" s="2" t="s">
        <v>12</v>
      </c>
      <c r="F7" s="2" t="s">
        <v>7</v>
      </c>
      <c r="G7" s="4">
        <v>228</v>
      </c>
      <c r="H7" s="4"/>
      <c r="I7" s="2" t="s">
        <v>100</v>
      </c>
      <c r="J7" s="15"/>
    </row>
    <row r="8" spans="1:10" x14ac:dyDescent="0.25">
      <c r="A8" s="19" t="s">
        <v>22</v>
      </c>
      <c r="B8" s="2" t="s">
        <v>23</v>
      </c>
      <c r="C8" s="3">
        <v>2013</v>
      </c>
      <c r="D8" s="3" t="s">
        <v>6</v>
      </c>
      <c r="E8" s="2" t="s">
        <v>6</v>
      </c>
      <c r="F8" s="2" t="s">
        <v>7</v>
      </c>
      <c r="G8" s="4">
        <v>200</v>
      </c>
      <c r="H8" s="4"/>
      <c r="I8" s="2" t="s">
        <v>20</v>
      </c>
      <c r="J8" s="15"/>
    </row>
    <row r="9" spans="1:10" x14ac:dyDescent="0.25">
      <c r="A9" s="28" t="s">
        <v>24</v>
      </c>
      <c r="B9" s="25" t="s">
        <v>25</v>
      </c>
      <c r="C9" s="26"/>
      <c r="D9" s="26"/>
      <c r="E9" s="25"/>
      <c r="F9" s="25"/>
      <c r="G9" s="27">
        <v>580</v>
      </c>
      <c r="H9" s="27"/>
      <c r="I9" s="25" t="s">
        <v>78</v>
      </c>
      <c r="J9" s="29"/>
    </row>
    <row r="10" spans="1:10" x14ac:dyDescent="0.25">
      <c r="A10" s="28" t="s">
        <v>26</v>
      </c>
      <c r="B10" s="25" t="s">
        <v>27</v>
      </c>
      <c r="C10" s="26">
        <v>42675</v>
      </c>
      <c r="D10" s="26" t="s">
        <v>28</v>
      </c>
      <c r="E10" s="25" t="s">
        <v>6</v>
      </c>
      <c r="F10" s="25" t="s">
        <v>29</v>
      </c>
      <c r="G10" s="27" t="s">
        <v>30</v>
      </c>
      <c r="H10" s="27"/>
      <c r="I10" s="25" t="s">
        <v>78</v>
      </c>
      <c r="J10" s="29"/>
    </row>
    <row r="11" spans="1:10" x14ac:dyDescent="0.25">
      <c r="A11" s="28" t="s">
        <v>31</v>
      </c>
      <c r="B11" s="25" t="s">
        <v>32</v>
      </c>
      <c r="C11" s="26">
        <v>42894</v>
      </c>
      <c r="D11" s="26" t="s">
        <v>33</v>
      </c>
      <c r="E11" s="25" t="s">
        <v>34</v>
      </c>
      <c r="F11" s="25" t="s">
        <v>7</v>
      </c>
      <c r="G11" s="27">
        <v>1392</v>
      </c>
      <c r="H11" s="27"/>
      <c r="I11" s="25" t="s">
        <v>78</v>
      </c>
      <c r="J11" s="29"/>
    </row>
    <row r="12" spans="1:10" x14ac:dyDescent="0.25">
      <c r="A12" s="19" t="s">
        <v>35</v>
      </c>
      <c r="B12" s="2" t="s">
        <v>36</v>
      </c>
      <c r="C12" s="3">
        <v>41620</v>
      </c>
      <c r="D12" s="3" t="s">
        <v>6</v>
      </c>
      <c r="E12" s="2" t="s">
        <v>6</v>
      </c>
      <c r="F12" s="2" t="s">
        <v>7</v>
      </c>
      <c r="G12" s="4">
        <v>134.9</v>
      </c>
      <c r="H12" s="4"/>
      <c r="I12" s="2" t="s">
        <v>20</v>
      </c>
      <c r="J12" s="15"/>
    </row>
    <row r="13" spans="1:10" x14ac:dyDescent="0.25">
      <c r="A13" s="19" t="s">
        <v>35</v>
      </c>
      <c r="B13" s="2" t="s">
        <v>40</v>
      </c>
      <c r="C13" s="3">
        <v>41620</v>
      </c>
      <c r="D13" s="3" t="s">
        <v>6</v>
      </c>
      <c r="E13" s="2" t="s">
        <v>6</v>
      </c>
      <c r="F13" s="2" t="s">
        <v>15</v>
      </c>
      <c r="G13" s="4" t="s">
        <v>41</v>
      </c>
      <c r="H13" s="4"/>
      <c r="I13" s="2" t="s">
        <v>20</v>
      </c>
      <c r="J13" s="15"/>
    </row>
    <row r="14" spans="1:10" x14ac:dyDescent="0.25">
      <c r="A14" s="28" t="s">
        <v>42</v>
      </c>
      <c r="B14" s="25" t="s">
        <v>85</v>
      </c>
      <c r="C14" s="26">
        <v>40606</v>
      </c>
      <c r="D14" s="26" t="s">
        <v>13</v>
      </c>
      <c r="E14" s="25" t="s">
        <v>12</v>
      </c>
      <c r="F14" s="25" t="s">
        <v>7</v>
      </c>
      <c r="G14" s="27">
        <v>468</v>
      </c>
      <c r="H14" s="27"/>
      <c r="I14" s="25" t="s">
        <v>78</v>
      </c>
      <c r="J14" s="29"/>
    </row>
    <row r="15" spans="1:10" x14ac:dyDescent="0.25">
      <c r="A15" s="19" t="s">
        <v>80</v>
      </c>
      <c r="B15" s="2" t="s">
        <v>81</v>
      </c>
      <c r="C15" s="3"/>
      <c r="D15" s="3" t="s">
        <v>6</v>
      </c>
      <c r="E15" s="2" t="s">
        <v>89</v>
      </c>
      <c r="F15" s="2"/>
      <c r="G15" s="4">
        <v>2150</v>
      </c>
      <c r="H15" s="4"/>
      <c r="I15" s="2" t="s">
        <v>82</v>
      </c>
      <c r="J15" s="15"/>
    </row>
    <row r="16" spans="1:10" x14ac:dyDescent="0.25">
      <c r="A16" s="28" t="s">
        <v>43</v>
      </c>
      <c r="B16" s="25" t="s">
        <v>103</v>
      </c>
      <c r="C16" s="26">
        <v>42880</v>
      </c>
      <c r="D16" s="26" t="s">
        <v>6</v>
      </c>
      <c r="E16" s="25" t="s">
        <v>6</v>
      </c>
      <c r="F16" s="25" t="s">
        <v>7</v>
      </c>
      <c r="G16" s="27">
        <v>392</v>
      </c>
      <c r="H16" s="27"/>
      <c r="I16" s="25" t="s">
        <v>78</v>
      </c>
      <c r="J16" s="29"/>
    </row>
    <row r="17" spans="1:10" ht="30" x14ac:dyDescent="0.25">
      <c r="A17" s="28" t="s">
        <v>83</v>
      </c>
      <c r="B17" s="25" t="s">
        <v>84</v>
      </c>
      <c r="C17" s="26"/>
      <c r="D17" s="26">
        <v>44013</v>
      </c>
      <c r="E17" s="25"/>
      <c r="F17" s="25"/>
      <c r="G17" s="27">
        <v>2253.75</v>
      </c>
      <c r="H17" s="27"/>
      <c r="I17" s="25" t="s">
        <v>78</v>
      </c>
      <c r="J17" s="29" t="s">
        <v>108</v>
      </c>
    </row>
    <row r="18" spans="1:10" x14ac:dyDescent="0.25">
      <c r="A18" s="28" t="s">
        <v>44</v>
      </c>
      <c r="B18" s="25" t="s">
        <v>86</v>
      </c>
      <c r="C18" s="26"/>
      <c r="D18" s="26" t="s">
        <v>6</v>
      </c>
      <c r="E18" s="25" t="s">
        <v>89</v>
      </c>
      <c r="F18" s="25"/>
      <c r="G18" s="27">
        <v>1081.6099999999999</v>
      </c>
      <c r="H18" s="27"/>
      <c r="I18" s="25" t="s">
        <v>78</v>
      </c>
      <c r="J18" s="29" t="s">
        <v>93</v>
      </c>
    </row>
    <row r="19" spans="1:10" x14ac:dyDescent="0.25">
      <c r="A19" s="19" t="s">
        <v>87</v>
      </c>
      <c r="B19" s="2" t="s">
        <v>88</v>
      </c>
      <c r="C19" s="3"/>
      <c r="D19" s="3" t="s">
        <v>6</v>
      </c>
      <c r="E19" s="2" t="s">
        <v>89</v>
      </c>
      <c r="F19" s="2"/>
      <c r="G19" s="4">
        <v>297.77</v>
      </c>
      <c r="H19" s="4"/>
      <c r="I19" s="2" t="s">
        <v>90</v>
      </c>
      <c r="J19" s="15"/>
    </row>
    <row r="20" spans="1:10" x14ac:dyDescent="0.25">
      <c r="A20" s="19" t="s">
        <v>91</v>
      </c>
      <c r="B20" s="2" t="s">
        <v>92</v>
      </c>
      <c r="C20" s="3"/>
      <c r="D20" s="3" t="s">
        <v>6</v>
      </c>
      <c r="E20" s="2" t="s">
        <v>89</v>
      </c>
      <c r="F20" s="2"/>
      <c r="G20" s="4">
        <v>722.62</v>
      </c>
      <c r="H20" s="4"/>
      <c r="I20" s="2" t="s">
        <v>90</v>
      </c>
      <c r="J20" s="15"/>
    </row>
    <row r="21" spans="1:10" ht="30" x14ac:dyDescent="0.25">
      <c r="A21" s="28" t="s">
        <v>95</v>
      </c>
      <c r="B21" s="25" t="s">
        <v>96</v>
      </c>
      <c r="C21" s="26"/>
      <c r="D21" s="26" t="s">
        <v>6</v>
      </c>
      <c r="E21" s="25" t="s">
        <v>89</v>
      </c>
      <c r="F21" s="25"/>
      <c r="G21" s="27">
        <v>220</v>
      </c>
      <c r="H21" s="27"/>
      <c r="I21" s="25" t="s">
        <v>78</v>
      </c>
      <c r="J21" s="29" t="s">
        <v>109</v>
      </c>
    </row>
    <row r="22" spans="1:10" x14ac:dyDescent="0.25">
      <c r="A22" s="19" t="s">
        <v>97</v>
      </c>
      <c r="B22" s="2" t="s">
        <v>98</v>
      </c>
      <c r="C22" s="3"/>
      <c r="D22" s="3">
        <v>43252</v>
      </c>
      <c r="E22" s="2"/>
      <c r="F22" s="2"/>
      <c r="G22" s="4">
        <v>1000</v>
      </c>
      <c r="H22" s="4"/>
      <c r="I22" s="2" t="s">
        <v>82</v>
      </c>
      <c r="J22" s="15"/>
    </row>
    <row r="23" spans="1:10" x14ac:dyDescent="0.25">
      <c r="A23" s="19" t="s">
        <v>101</v>
      </c>
      <c r="B23" s="2" t="s">
        <v>102</v>
      </c>
      <c r="C23" s="3"/>
      <c r="D23" s="3"/>
      <c r="E23" s="2"/>
      <c r="F23" s="2"/>
      <c r="G23" s="4"/>
      <c r="H23" s="4"/>
      <c r="I23" s="2" t="s">
        <v>82</v>
      </c>
      <c r="J23" s="15"/>
    </row>
    <row r="24" spans="1:10" x14ac:dyDescent="0.25">
      <c r="A24" s="19" t="s">
        <v>37</v>
      </c>
      <c r="B24" s="2"/>
      <c r="C24" s="3"/>
      <c r="D24" s="3"/>
      <c r="E24" s="2"/>
      <c r="F24" s="2"/>
      <c r="G24" s="4"/>
      <c r="H24" s="4"/>
      <c r="I24" s="2" t="s">
        <v>78</v>
      </c>
      <c r="J24" s="15" t="s">
        <v>104</v>
      </c>
    </row>
    <row r="25" spans="1:10" x14ac:dyDescent="0.25">
      <c r="A25" s="19" t="s">
        <v>106</v>
      </c>
      <c r="B25" s="2"/>
      <c r="C25" s="3"/>
      <c r="D25" s="3"/>
      <c r="E25" s="2"/>
      <c r="F25" s="2"/>
      <c r="G25" s="4"/>
      <c r="H25" s="4"/>
      <c r="I25" s="2" t="s">
        <v>78</v>
      </c>
      <c r="J25" s="15" t="s">
        <v>104</v>
      </c>
    </row>
    <row r="26" spans="1:10" x14ac:dyDescent="0.25">
      <c r="A26" s="19" t="s">
        <v>39</v>
      </c>
      <c r="B26" s="2"/>
      <c r="C26" s="3"/>
      <c r="D26" s="3"/>
      <c r="E26" s="2"/>
      <c r="F26" s="2"/>
      <c r="G26" s="4"/>
      <c r="H26" s="4"/>
      <c r="I26" s="2" t="s">
        <v>78</v>
      </c>
      <c r="J26" s="15" t="s">
        <v>104</v>
      </c>
    </row>
    <row r="27" spans="1:10" x14ac:dyDescent="0.25">
      <c r="A27" s="19" t="s">
        <v>61</v>
      </c>
      <c r="B27" s="2"/>
      <c r="C27" s="2"/>
      <c r="D27" s="2"/>
      <c r="E27" s="2"/>
      <c r="F27" s="2"/>
      <c r="G27" s="2"/>
      <c r="H27" s="2"/>
      <c r="I27" s="2"/>
      <c r="J27" s="15"/>
    </row>
    <row r="28" spans="1:10" x14ac:dyDescent="0.25">
      <c r="A28" s="19" t="s">
        <v>45</v>
      </c>
      <c r="B28" s="2" t="s">
        <v>46</v>
      </c>
      <c r="C28" s="3">
        <v>42943</v>
      </c>
      <c r="D28" s="3"/>
      <c r="E28" s="2"/>
      <c r="F28" s="2"/>
      <c r="G28" s="4">
        <v>10500</v>
      </c>
      <c r="H28" s="4"/>
      <c r="I28" s="2" t="s">
        <v>47</v>
      </c>
      <c r="J28" s="15"/>
    </row>
    <row r="29" spans="1:10" x14ac:dyDescent="0.25">
      <c r="A29" s="19" t="s">
        <v>48</v>
      </c>
      <c r="B29" s="2" t="s">
        <v>49</v>
      </c>
      <c r="C29" s="3">
        <v>42913</v>
      </c>
      <c r="D29" s="3"/>
      <c r="E29" s="2"/>
      <c r="F29" s="2"/>
      <c r="G29" s="4">
        <v>65000</v>
      </c>
      <c r="H29" s="4"/>
      <c r="I29" s="2" t="s">
        <v>47</v>
      </c>
      <c r="J29" s="15"/>
    </row>
    <row r="30" spans="1:10" x14ac:dyDescent="0.25">
      <c r="A30" s="19" t="s">
        <v>50</v>
      </c>
      <c r="B30" s="2" t="s">
        <v>51</v>
      </c>
      <c r="C30" s="3">
        <v>42480</v>
      </c>
      <c r="D30" s="3"/>
      <c r="E30" s="2"/>
      <c r="F30" s="2"/>
      <c r="G30" s="4">
        <v>4500</v>
      </c>
      <c r="H30" s="4"/>
      <c r="I30" s="2" t="s">
        <v>47</v>
      </c>
      <c r="J30" s="15"/>
    </row>
    <row r="31" spans="1:10" x14ac:dyDescent="0.25">
      <c r="A31" s="19" t="s">
        <v>52</v>
      </c>
      <c r="B31" s="2" t="s">
        <v>53</v>
      </c>
      <c r="C31" s="3">
        <v>42975</v>
      </c>
      <c r="D31" s="3"/>
      <c r="E31" s="2"/>
      <c r="F31" s="2"/>
      <c r="G31" s="4">
        <v>112000</v>
      </c>
      <c r="H31" s="4"/>
      <c r="I31" s="2" t="s">
        <v>47</v>
      </c>
      <c r="J31" s="15"/>
    </row>
    <row r="32" spans="1:10" x14ac:dyDescent="0.25">
      <c r="A32" s="19" t="s">
        <v>54</v>
      </c>
      <c r="B32" s="2" t="s">
        <v>55</v>
      </c>
      <c r="C32" s="3">
        <v>38957</v>
      </c>
      <c r="D32" s="3"/>
      <c r="E32" s="2"/>
      <c r="F32" s="2"/>
      <c r="G32" s="4">
        <v>29000</v>
      </c>
      <c r="H32" s="4"/>
      <c r="I32" s="2"/>
      <c r="J32" s="15"/>
    </row>
    <row r="33" spans="1:10" ht="30" x14ac:dyDescent="0.25">
      <c r="A33" s="19" t="s">
        <v>56</v>
      </c>
      <c r="B33" s="2" t="s">
        <v>57</v>
      </c>
      <c r="C33" s="3">
        <v>42845</v>
      </c>
      <c r="D33" s="3"/>
      <c r="E33" s="2"/>
      <c r="F33" s="2"/>
      <c r="G33" s="4">
        <v>10000</v>
      </c>
      <c r="H33" s="4"/>
      <c r="I33" s="2" t="s">
        <v>47</v>
      </c>
      <c r="J33" s="15"/>
    </row>
    <row r="34" spans="1:10" ht="45" x14ac:dyDescent="0.25">
      <c r="A34" s="19" t="s">
        <v>58</v>
      </c>
      <c r="B34" s="2" t="s">
        <v>67</v>
      </c>
      <c r="C34" s="3">
        <v>41359</v>
      </c>
      <c r="D34" s="3"/>
      <c r="E34" s="2"/>
      <c r="F34" s="2"/>
      <c r="G34" s="4">
        <v>21000</v>
      </c>
      <c r="H34" s="4"/>
      <c r="I34" s="2" t="s">
        <v>59</v>
      </c>
      <c r="J34" s="15"/>
    </row>
    <row r="35" spans="1:10" x14ac:dyDescent="0.25">
      <c r="A35" s="19" t="s">
        <v>64</v>
      </c>
      <c r="B35" s="2" t="s">
        <v>68</v>
      </c>
      <c r="C35" s="3"/>
      <c r="D35" s="3"/>
      <c r="E35" s="2"/>
      <c r="F35" s="2"/>
      <c r="G35" s="4"/>
      <c r="H35" s="4"/>
      <c r="I35" s="2" t="s">
        <v>59</v>
      </c>
      <c r="J35" s="15"/>
    </row>
    <row r="36" spans="1:10" x14ac:dyDescent="0.25">
      <c r="A36" s="19" t="s">
        <v>62</v>
      </c>
      <c r="B36" s="2" t="s">
        <v>65</v>
      </c>
      <c r="C36" s="3"/>
      <c r="D36" s="3"/>
      <c r="E36" s="2"/>
      <c r="F36" s="2"/>
      <c r="G36" s="4"/>
      <c r="H36" s="4"/>
      <c r="I36" s="2" t="s">
        <v>59</v>
      </c>
      <c r="J36" s="15"/>
    </row>
    <row r="37" spans="1:10" x14ac:dyDescent="0.25">
      <c r="A37" s="35" t="s">
        <v>63</v>
      </c>
      <c r="B37" s="36" t="s">
        <v>66</v>
      </c>
      <c r="C37" s="37"/>
      <c r="D37" s="37"/>
      <c r="E37" s="36"/>
      <c r="F37" s="36"/>
      <c r="G37" s="38"/>
      <c r="H37" s="38"/>
      <c r="I37" s="36" t="s">
        <v>59</v>
      </c>
      <c r="J37" s="39"/>
    </row>
  </sheetData>
  <mergeCells count="2">
    <mergeCell ref="A1:J1"/>
    <mergeCell ref="A2:J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8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>
    <pageSetUpPr fitToPage="1"/>
  </sheetPr>
  <dimension ref="A1:L35"/>
  <sheetViews>
    <sheetView zoomScale="85" zoomScaleNormal="85" workbookViewId="0">
      <pane xSplit="1" ySplit="3" topLeftCell="B5" activePane="bottomRight" state="frozen"/>
      <selection pane="topRight" activeCell="B1" sqref="B1"/>
      <selection pane="bottomLeft" activeCell="A4" sqref="A4"/>
      <selection pane="bottomRight" activeCell="L10" sqref="L10"/>
    </sheetView>
  </sheetViews>
  <sheetFormatPr defaultColWidth="9.140625" defaultRowHeight="15" x14ac:dyDescent="0.25"/>
  <cols>
    <col min="1" max="1" width="21.85546875" style="1" bestFit="1" customWidth="1"/>
    <col min="2" max="2" width="49" style="1" bestFit="1" customWidth="1"/>
    <col min="3" max="3" width="14.85546875" style="24" hidden="1" customWidth="1"/>
    <col min="4" max="4" width="14.42578125" style="24" hidden="1" customWidth="1"/>
    <col min="5" max="5" width="23.140625" style="1" hidden="1" customWidth="1"/>
    <col min="6" max="6" width="18.28515625" style="1" hidden="1" customWidth="1"/>
    <col min="7" max="7" width="16" style="8" hidden="1" customWidth="1"/>
    <col min="8" max="8" width="45.28515625" style="8" bestFit="1" customWidth="1"/>
    <col min="9" max="9" width="16.85546875" style="1" customWidth="1"/>
    <col min="10" max="10" width="26.28515625" style="1" bestFit="1" customWidth="1"/>
    <col min="11" max="11" width="11.5703125" style="24" bestFit="1" customWidth="1"/>
    <col min="12" max="12" width="13.42578125" style="8" bestFit="1" customWidth="1"/>
    <col min="13" max="16384" width="9.140625" style="1"/>
  </cols>
  <sheetData>
    <row r="1" spans="1:12" x14ac:dyDescent="0.25">
      <c r="A1" s="175" t="s">
        <v>69</v>
      </c>
      <c r="B1" s="175"/>
      <c r="C1" s="175"/>
      <c r="D1" s="175"/>
      <c r="E1" s="175"/>
      <c r="F1" s="175"/>
      <c r="G1" s="175"/>
      <c r="H1" s="175"/>
      <c r="I1" s="175"/>
      <c r="J1" s="175"/>
      <c r="K1" s="177" t="s">
        <v>112</v>
      </c>
      <c r="L1" s="178"/>
    </row>
    <row r="2" spans="1:12" x14ac:dyDescent="0.25">
      <c r="A2" s="176" t="s">
        <v>60</v>
      </c>
      <c r="B2" s="176"/>
      <c r="C2" s="176"/>
      <c r="D2" s="176"/>
      <c r="E2" s="176"/>
      <c r="F2" s="176"/>
      <c r="G2" s="176"/>
      <c r="H2" s="176"/>
      <c r="I2" s="176"/>
      <c r="J2" s="176"/>
      <c r="K2" s="170">
        <v>43070</v>
      </c>
      <c r="L2" s="171"/>
    </row>
    <row r="3" spans="1:12" s="13" customFormat="1" ht="30" x14ac:dyDescent="0.25">
      <c r="A3" s="43" t="s">
        <v>0</v>
      </c>
      <c r="B3" s="43" t="s">
        <v>5</v>
      </c>
      <c r="C3" s="45" t="s">
        <v>3</v>
      </c>
      <c r="D3" s="45" t="s">
        <v>1</v>
      </c>
      <c r="E3" s="43" t="s">
        <v>8</v>
      </c>
      <c r="F3" s="43" t="s">
        <v>2</v>
      </c>
      <c r="G3" s="44" t="s">
        <v>79</v>
      </c>
      <c r="H3" s="44" t="s">
        <v>107</v>
      </c>
      <c r="I3" s="43" t="s">
        <v>19</v>
      </c>
      <c r="J3" s="43" t="s">
        <v>105</v>
      </c>
      <c r="K3" s="45" t="s">
        <v>113</v>
      </c>
      <c r="L3" s="46" t="s">
        <v>114</v>
      </c>
    </row>
    <row r="4" spans="1:12" ht="30" hidden="1" x14ac:dyDescent="0.25">
      <c r="A4" s="2" t="s">
        <v>18</v>
      </c>
      <c r="B4" s="2" t="s">
        <v>4</v>
      </c>
      <c r="C4" s="3">
        <v>41609</v>
      </c>
      <c r="D4" s="3" t="s">
        <v>6</v>
      </c>
      <c r="E4" s="2" t="s">
        <v>12</v>
      </c>
      <c r="F4" s="2" t="s">
        <v>7</v>
      </c>
      <c r="G4" s="4">
        <v>1952.22</v>
      </c>
      <c r="H4" s="4"/>
      <c r="I4" s="2" t="s">
        <v>20</v>
      </c>
      <c r="J4" s="2"/>
      <c r="K4" s="3"/>
      <c r="L4" s="4"/>
    </row>
    <row r="5" spans="1:12" ht="18" customHeight="1" x14ac:dyDescent="0.25">
      <c r="A5" s="25" t="s">
        <v>9</v>
      </c>
      <c r="B5" s="25" t="s">
        <v>10</v>
      </c>
      <c r="C5" s="26">
        <v>41644</v>
      </c>
      <c r="D5" s="26" t="s">
        <v>13</v>
      </c>
      <c r="E5" s="25" t="s">
        <v>14</v>
      </c>
      <c r="F5" s="25" t="s">
        <v>7</v>
      </c>
      <c r="G5" s="27" t="s">
        <v>139</v>
      </c>
      <c r="H5" s="27" t="s">
        <v>145</v>
      </c>
      <c r="I5" s="25" t="s">
        <v>78</v>
      </c>
      <c r="J5" s="25" t="s">
        <v>99</v>
      </c>
      <c r="K5" s="3">
        <v>43074</v>
      </c>
      <c r="L5" s="4">
        <v>6059.28</v>
      </c>
    </row>
    <row r="6" spans="1:12" hidden="1" x14ac:dyDescent="0.25">
      <c r="A6" s="2" t="s">
        <v>17</v>
      </c>
      <c r="B6" s="2" t="s">
        <v>11</v>
      </c>
      <c r="C6" s="3">
        <v>42156</v>
      </c>
      <c r="D6" s="3" t="s">
        <v>13</v>
      </c>
      <c r="E6" s="2" t="s">
        <v>14</v>
      </c>
      <c r="F6" s="2" t="s">
        <v>15</v>
      </c>
      <c r="G6" s="4">
        <v>740</v>
      </c>
      <c r="H6" s="27" t="s">
        <v>140</v>
      </c>
      <c r="I6" s="2" t="s">
        <v>155</v>
      </c>
      <c r="J6" s="2"/>
      <c r="K6" s="3"/>
      <c r="L6" s="4"/>
    </row>
    <row r="7" spans="1:12" hidden="1" x14ac:dyDescent="0.25">
      <c r="A7" s="2" t="s">
        <v>16</v>
      </c>
      <c r="B7" s="2" t="s">
        <v>21</v>
      </c>
      <c r="C7" s="3">
        <v>38936</v>
      </c>
      <c r="D7" s="3" t="s">
        <v>13</v>
      </c>
      <c r="E7" s="2" t="s">
        <v>12</v>
      </c>
      <c r="F7" s="2" t="s">
        <v>7</v>
      </c>
      <c r="G7" s="4">
        <v>228</v>
      </c>
      <c r="H7" s="4"/>
      <c r="I7" s="2" t="s">
        <v>100</v>
      </c>
      <c r="J7" s="2"/>
      <c r="K7" s="3"/>
      <c r="L7" s="4"/>
    </row>
    <row r="8" spans="1:12" hidden="1" x14ac:dyDescent="0.25">
      <c r="A8" s="2" t="s">
        <v>22</v>
      </c>
      <c r="B8" s="2" t="s">
        <v>23</v>
      </c>
      <c r="C8" s="3">
        <v>2013</v>
      </c>
      <c r="D8" s="3" t="s">
        <v>6</v>
      </c>
      <c r="E8" s="2" t="s">
        <v>6</v>
      </c>
      <c r="F8" s="2" t="s">
        <v>7</v>
      </c>
      <c r="G8" s="4">
        <v>200</v>
      </c>
      <c r="H8" s="4"/>
      <c r="I8" s="2" t="s">
        <v>20</v>
      </c>
      <c r="J8" s="2"/>
      <c r="K8" s="3"/>
      <c r="L8" s="4"/>
    </row>
    <row r="9" spans="1:12" hidden="1" x14ac:dyDescent="0.25">
      <c r="A9" s="25" t="s">
        <v>26</v>
      </c>
      <c r="B9" s="25" t="s">
        <v>27</v>
      </c>
      <c r="C9" s="27">
        <v>42675</v>
      </c>
      <c r="D9" s="27" t="s">
        <v>28</v>
      </c>
      <c r="E9" s="25" t="s">
        <v>6</v>
      </c>
      <c r="F9" s="42" t="s">
        <v>29</v>
      </c>
      <c r="G9" s="42" t="s">
        <v>149</v>
      </c>
      <c r="H9" s="42" t="s">
        <v>149</v>
      </c>
      <c r="I9" s="42" t="s">
        <v>149</v>
      </c>
      <c r="J9" s="42" t="s">
        <v>149</v>
      </c>
      <c r="K9" s="40"/>
      <c r="L9" s="2"/>
    </row>
    <row r="10" spans="1:12" x14ac:dyDescent="0.25">
      <c r="A10" s="25" t="s">
        <v>31</v>
      </c>
      <c r="B10" s="25" t="s">
        <v>32</v>
      </c>
      <c r="C10" s="26">
        <v>42894</v>
      </c>
      <c r="D10" s="26" t="s">
        <v>33</v>
      </c>
      <c r="E10" s="25" t="s">
        <v>34</v>
      </c>
      <c r="F10" s="25" t="s">
        <v>7</v>
      </c>
      <c r="G10" s="27">
        <v>1399.78</v>
      </c>
      <c r="H10" s="27" t="s">
        <v>110</v>
      </c>
      <c r="I10" s="25" t="s">
        <v>78</v>
      </c>
      <c r="J10" s="25"/>
      <c r="K10" s="3">
        <v>43073</v>
      </c>
      <c r="L10" s="4">
        <v>1399.78</v>
      </c>
    </row>
    <row r="11" spans="1:12" hidden="1" x14ac:dyDescent="0.25">
      <c r="A11" s="2" t="s">
        <v>35</v>
      </c>
      <c r="B11" s="2" t="s">
        <v>36</v>
      </c>
      <c r="C11" s="3">
        <v>41620</v>
      </c>
      <c r="D11" s="3" t="s">
        <v>6</v>
      </c>
      <c r="E11" s="2" t="s">
        <v>6</v>
      </c>
      <c r="F11" s="2" t="s">
        <v>7</v>
      </c>
      <c r="G11" s="4">
        <v>134.9</v>
      </c>
      <c r="H11" s="4"/>
      <c r="I11" s="2" t="s">
        <v>20</v>
      </c>
      <c r="J11" s="2"/>
      <c r="K11" s="3"/>
      <c r="L11" s="4"/>
    </row>
    <row r="12" spans="1:12" hidden="1" x14ac:dyDescent="0.25">
      <c r="A12" s="2" t="s">
        <v>35</v>
      </c>
      <c r="B12" s="2" t="s">
        <v>40</v>
      </c>
      <c r="C12" s="3">
        <v>41620</v>
      </c>
      <c r="D12" s="3" t="s">
        <v>6</v>
      </c>
      <c r="E12" s="2" t="s">
        <v>6</v>
      </c>
      <c r="F12" s="2" t="s">
        <v>15</v>
      </c>
      <c r="G12" s="4" t="s">
        <v>41</v>
      </c>
      <c r="H12" s="4"/>
      <c r="I12" s="2" t="s">
        <v>20</v>
      </c>
      <c r="J12" s="2"/>
      <c r="K12" s="3"/>
      <c r="L12" s="4"/>
    </row>
    <row r="13" spans="1:12" x14ac:dyDescent="0.25">
      <c r="A13" s="25" t="s">
        <v>42</v>
      </c>
      <c r="B13" s="25" t="s">
        <v>85</v>
      </c>
      <c r="C13" s="26">
        <v>40606</v>
      </c>
      <c r="D13" s="26" t="s">
        <v>13</v>
      </c>
      <c r="E13" s="25" t="s">
        <v>12</v>
      </c>
      <c r="F13" s="25" t="s">
        <v>7</v>
      </c>
      <c r="G13" s="27">
        <v>468</v>
      </c>
      <c r="H13" s="27" t="s">
        <v>141</v>
      </c>
      <c r="I13" s="25" t="s">
        <v>78</v>
      </c>
      <c r="J13" s="25"/>
      <c r="K13" s="3">
        <v>43074</v>
      </c>
      <c r="L13" s="4">
        <v>468</v>
      </c>
    </row>
    <row r="14" spans="1:12" hidden="1" x14ac:dyDescent="0.25">
      <c r="A14" s="2" t="s">
        <v>80</v>
      </c>
      <c r="B14" s="2" t="s">
        <v>81</v>
      </c>
      <c r="C14" s="3"/>
      <c r="D14" s="3" t="s">
        <v>6</v>
      </c>
      <c r="E14" s="2" t="s">
        <v>89</v>
      </c>
      <c r="F14" s="2"/>
      <c r="G14" s="4">
        <v>2150</v>
      </c>
      <c r="H14" s="4"/>
      <c r="I14" s="2" t="s">
        <v>82</v>
      </c>
      <c r="J14" s="2"/>
      <c r="K14" s="3"/>
      <c r="L14" s="4"/>
    </row>
    <row r="15" spans="1:12" hidden="1" x14ac:dyDescent="0.25">
      <c r="A15" s="25" t="s">
        <v>43</v>
      </c>
      <c r="B15" s="25" t="s">
        <v>103</v>
      </c>
      <c r="C15" s="26">
        <v>42880</v>
      </c>
      <c r="D15" s="26" t="s">
        <v>6</v>
      </c>
      <c r="E15" s="25" t="s">
        <v>6</v>
      </c>
      <c r="F15" s="25" t="s">
        <v>7</v>
      </c>
      <c r="G15" s="27">
        <v>392</v>
      </c>
      <c r="H15" s="27" t="s">
        <v>140</v>
      </c>
      <c r="I15" s="25" t="s">
        <v>149</v>
      </c>
      <c r="J15" s="41" t="s">
        <v>144</v>
      </c>
      <c r="K15" s="3">
        <v>43445</v>
      </c>
      <c r="L15" s="4">
        <v>392.82</v>
      </c>
    </row>
    <row r="16" spans="1:12" x14ac:dyDescent="0.25">
      <c r="A16" s="25" t="s">
        <v>83</v>
      </c>
      <c r="B16" s="25" t="s">
        <v>84</v>
      </c>
      <c r="C16" s="26"/>
      <c r="D16" s="26">
        <v>44013</v>
      </c>
      <c r="E16" s="25"/>
      <c r="F16" s="25"/>
      <c r="G16" s="27">
        <v>2253.75</v>
      </c>
      <c r="H16" s="27" t="s">
        <v>111</v>
      </c>
      <c r="I16" s="25" t="s">
        <v>78</v>
      </c>
      <c r="J16" s="25" t="s">
        <v>154</v>
      </c>
      <c r="K16" s="3">
        <v>43089</v>
      </c>
      <c r="L16" s="4" t="s">
        <v>153</v>
      </c>
    </row>
    <row r="17" spans="1:12" x14ac:dyDescent="0.25">
      <c r="A17" s="25" t="s">
        <v>44</v>
      </c>
      <c r="B17" s="25" t="s">
        <v>86</v>
      </c>
      <c r="C17" s="26"/>
      <c r="D17" s="26" t="s">
        <v>6</v>
      </c>
      <c r="E17" s="25" t="s">
        <v>89</v>
      </c>
      <c r="F17" s="25"/>
      <c r="G17" s="27">
        <v>1081.6099999999999</v>
      </c>
      <c r="H17" s="27" t="s">
        <v>110</v>
      </c>
      <c r="I17" s="25" t="s">
        <v>78</v>
      </c>
      <c r="J17" s="25"/>
      <c r="K17" s="3">
        <v>43090</v>
      </c>
      <c r="L17" s="4">
        <v>1081.6099999999999</v>
      </c>
    </row>
    <row r="18" spans="1:12" hidden="1" x14ac:dyDescent="0.25">
      <c r="A18" s="2" t="s">
        <v>166</v>
      </c>
      <c r="B18" s="2" t="s">
        <v>88</v>
      </c>
      <c r="C18" s="3"/>
      <c r="D18" s="3" t="s">
        <v>6</v>
      </c>
      <c r="E18" s="2" t="s">
        <v>89</v>
      </c>
      <c r="F18" s="2"/>
      <c r="G18" s="4">
        <v>297.77</v>
      </c>
      <c r="H18" s="4" t="s">
        <v>164</v>
      </c>
      <c r="I18" s="2" t="s">
        <v>156</v>
      </c>
      <c r="J18" s="2"/>
      <c r="K18" s="3"/>
      <c r="L18" s="4"/>
    </row>
    <row r="19" spans="1:12" hidden="1" x14ac:dyDescent="0.25">
      <c r="A19" s="2" t="s">
        <v>91</v>
      </c>
      <c r="B19" s="2" t="s">
        <v>92</v>
      </c>
      <c r="C19" s="3"/>
      <c r="D19" s="3" t="s">
        <v>6</v>
      </c>
      <c r="E19" s="2" t="s">
        <v>89</v>
      </c>
      <c r="F19" s="2"/>
      <c r="G19" s="4">
        <v>722.62</v>
      </c>
      <c r="H19" s="4" t="s">
        <v>165</v>
      </c>
      <c r="I19" s="2" t="s">
        <v>156</v>
      </c>
      <c r="J19" s="2"/>
      <c r="K19" s="3"/>
      <c r="L19" s="4"/>
    </row>
    <row r="20" spans="1:12" x14ac:dyDescent="0.25">
      <c r="A20" s="2" t="s">
        <v>95</v>
      </c>
      <c r="B20" s="2" t="s">
        <v>96</v>
      </c>
      <c r="C20" s="3"/>
      <c r="D20" s="3" t="s">
        <v>6</v>
      </c>
      <c r="E20" s="2" t="s">
        <v>89</v>
      </c>
      <c r="F20" s="2"/>
      <c r="G20" s="4">
        <v>220</v>
      </c>
      <c r="H20" s="4" t="s">
        <v>147</v>
      </c>
      <c r="I20" s="2" t="s">
        <v>78</v>
      </c>
      <c r="J20" s="2" t="s">
        <v>148</v>
      </c>
      <c r="K20" s="3">
        <v>43087</v>
      </c>
      <c r="L20" s="4">
        <f>9*220</f>
        <v>1980</v>
      </c>
    </row>
    <row r="21" spans="1:12" hidden="1" x14ac:dyDescent="0.25">
      <c r="A21" s="2" t="s">
        <v>97</v>
      </c>
      <c r="B21" s="2" t="s">
        <v>98</v>
      </c>
      <c r="C21" s="3"/>
      <c r="D21" s="3">
        <v>43252</v>
      </c>
      <c r="E21" s="2"/>
      <c r="F21" s="2"/>
      <c r="G21" s="4">
        <v>1000</v>
      </c>
      <c r="H21" s="4"/>
      <c r="I21" s="2" t="s">
        <v>82</v>
      </c>
      <c r="J21" s="2"/>
      <c r="K21" s="3"/>
      <c r="L21" s="4"/>
    </row>
    <row r="22" spans="1:12" hidden="1" x14ac:dyDescent="0.25">
      <c r="A22" s="2" t="s">
        <v>101</v>
      </c>
      <c r="B22" s="2" t="s">
        <v>102</v>
      </c>
      <c r="C22" s="3"/>
      <c r="D22" s="3"/>
      <c r="E22" s="2"/>
      <c r="F22" s="2"/>
      <c r="G22" s="4"/>
      <c r="H22" s="4" t="s">
        <v>164</v>
      </c>
      <c r="I22" s="2" t="s">
        <v>157</v>
      </c>
      <c r="J22" s="2"/>
      <c r="K22" s="3"/>
      <c r="L22" s="4"/>
    </row>
    <row r="23" spans="1:12" x14ac:dyDescent="0.25">
      <c r="A23" s="2" t="s">
        <v>37</v>
      </c>
      <c r="B23" s="2" t="s">
        <v>172</v>
      </c>
      <c r="C23" s="3"/>
      <c r="D23" s="3"/>
      <c r="E23" s="2"/>
      <c r="F23" s="2"/>
      <c r="G23" s="4"/>
      <c r="H23" s="4" t="s">
        <v>164</v>
      </c>
      <c r="I23" s="2" t="s">
        <v>78</v>
      </c>
      <c r="J23" s="2"/>
      <c r="K23" s="47">
        <v>0</v>
      </c>
      <c r="L23" s="47">
        <v>0</v>
      </c>
    </row>
    <row r="24" spans="1:12" x14ac:dyDescent="0.25">
      <c r="A24" s="2" t="s">
        <v>38</v>
      </c>
      <c r="B24" s="2" t="s">
        <v>173</v>
      </c>
      <c r="C24" s="3"/>
      <c r="D24" s="3"/>
      <c r="E24" s="2"/>
      <c r="F24" s="2"/>
      <c r="G24" s="4"/>
      <c r="H24" s="4" t="s">
        <v>164</v>
      </c>
      <c r="I24" s="2" t="s">
        <v>78</v>
      </c>
      <c r="J24" s="2"/>
      <c r="K24" s="47">
        <v>0</v>
      </c>
      <c r="L24" s="47">
        <v>0</v>
      </c>
    </row>
    <row r="25" spans="1:12" x14ac:dyDescent="0.25">
      <c r="A25" s="2" t="s">
        <v>39</v>
      </c>
      <c r="B25" s="2" t="s">
        <v>174</v>
      </c>
      <c r="C25" s="3"/>
      <c r="D25" s="3"/>
      <c r="E25" s="2"/>
      <c r="F25" s="2"/>
      <c r="G25" s="4"/>
      <c r="H25" s="4" t="s">
        <v>164</v>
      </c>
      <c r="I25" s="2" t="s">
        <v>78</v>
      </c>
      <c r="J25" s="2"/>
      <c r="K25" s="47">
        <v>0</v>
      </c>
      <c r="L25" s="47">
        <v>0</v>
      </c>
    </row>
    <row r="26" spans="1:12" x14ac:dyDescent="0.25">
      <c r="A26" s="2" t="s">
        <v>160</v>
      </c>
      <c r="B26" s="2" t="s">
        <v>161</v>
      </c>
      <c r="C26" s="3"/>
      <c r="D26" s="3"/>
      <c r="E26" s="2"/>
      <c r="F26" s="2"/>
      <c r="G26" s="4"/>
      <c r="H26" s="4" t="s">
        <v>164</v>
      </c>
      <c r="I26" s="2" t="s">
        <v>78</v>
      </c>
      <c r="J26" s="2"/>
      <c r="K26" s="47">
        <v>0</v>
      </c>
      <c r="L26" s="47">
        <v>0</v>
      </c>
    </row>
    <row r="27" spans="1:12" x14ac:dyDescent="0.25">
      <c r="A27" s="2" t="s">
        <v>163</v>
      </c>
      <c r="B27" s="2" t="s">
        <v>162</v>
      </c>
      <c r="C27" s="3"/>
      <c r="D27" s="3"/>
      <c r="E27" s="2"/>
      <c r="F27" s="2"/>
      <c r="G27" s="4"/>
      <c r="H27" s="4" t="s">
        <v>164</v>
      </c>
      <c r="I27" s="2" t="s">
        <v>78</v>
      </c>
      <c r="J27" s="2"/>
      <c r="K27" s="47">
        <v>0</v>
      </c>
      <c r="L27" s="47">
        <v>0</v>
      </c>
    </row>
    <row r="28" spans="1:12" x14ac:dyDescent="0.25">
      <c r="A28" s="2" t="s">
        <v>167</v>
      </c>
      <c r="B28" s="2" t="s">
        <v>171</v>
      </c>
      <c r="C28" s="3"/>
      <c r="D28" s="3"/>
      <c r="E28" s="2"/>
      <c r="F28" s="2"/>
      <c r="G28" s="4"/>
      <c r="H28" s="4" t="s">
        <v>164</v>
      </c>
      <c r="I28" s="2" t="s">
        <v>78</v>
      </c>
      <c r="J28" s="2"/>
      <c r="K28" s="47">
        <v>0</v>
      </c>
      <c r="L28" s="47">
        <v>0</v>
      </c>
    </row>
    <row r="29" spans="1:12" x14ac:dyDescent="0.25">
      <c r="A29" s="2" t="s">
        <v>168</v>
      </c>
      <c r="B29" s="2" t="s">
        <v>169</v>
      </c>
      <c r="C29" s="3"/>
      <c r="D29" s="3"/>
      <c r="E29" s="2"/>
      <c r="F29" s="2"/>
      <c r="G29" s="4"/>
      <c r="H29" s="4" t="s">
        <v>170</v>
      </c>
      <c r="I29" s="2" t="s">
        <v>78</v>
      </c>
      <c r="J29" s="2"/>
      <c r="K29" s="47">
        <v>0</v>
      </c>
      <c r="L29" s="47">
        <v>0</v>
      </c>
    </row>
    <row r="30" spans="1:12" x14ac:dyDescent="0.25">
      <c r="A30" s="49" t="s">
        <v>61</v>
      </c>
      <c r="B30" s="2"/>
      <c r="C30" s="2"/>
      <c r="D30" s="2"/>
      <c r="E30" s="2"/>
      <c r="F30" s="2"/>
      <c r="G30" s="2"/>
      <c r="H30" s="2"/>
      <c r="I30" s="2" t="s">
        <v>78</v>
      </c>
      <c r="J30" s="2"/>
      <c r="K30" s="3"/>
      <c r="L30" s="4"/>
    </row>
    <row r="31" spans="1:12" ht="45" hidden="1" x14ac:dyDescent="0.25">
      <c r="A31" s="2" t="s">
        <v>58</v>
      </c>
      <c r="B31" s="2" t="s">
        <v>67</v>
      </c>
      <c r="C31" s="3">
        <v>41359</v>
      </c>
      <c r="D31" s="3"/>
      <c r="E31" s="2"/>
      <c r="F31" s="2"/>
      <c r="G31" s="4">
        <v>21000</v>
      </c>
      <c r="H31" s="4"/>
      <c r="I31" s="2" t="s">
        <v>146</v>
      </c>
      <c r="J31" s="2"/>
      <c r="K31" s="3"/>
      <c r="L31" s="4"/>
    </row>
    <row r="32" spans="1:12" x14ac:dyDescent="0.25">
      <c r="A32" s="2" t="s">
        <v>64</v>
      </c>
      <c r="B32" s="2" t="s">
        <v>68</v>
      </c>
      <c r="C32" s="3"/>
      <c r="D32" s="3"/>
      <c r="E32" s="2"/>
      <c r="F32" s="2"/>
      <c r="G32" s="4"/>
      <c r="H32" s="4"/>
      <c r="I32" s="2" t="s">
        <v>78</v>
      </c>
      <c r="J32" s="2"/>
      <c r="K32" s="47">
        <v>0</v>
      </c>
      <c r="L32" s="47">
        <v>0</v>
      </c>
    </row>
    <row r="33" spans="1:12" x14ac:dyDescent="0.25">
      <c r="A33" s="2" t="s">
        <v>62</v>
      </c>
      <c r="B33" s="2" t="s">
        <v>65</v>
      </c>
      <c r="C33" s="3"/>
      <c r="D33" s="3"/>
      <c r="E33" s="2"/>
      <c r="F33" s="2"/>
      <c r="G33" s="4"/>
      <c r="H33" s="4"/>
      <c r="I33" s="2" t="s">
        <v>78</v>
      </c>
      <c r="J33" s="2"/>
      <c r="K33" s="47">
        <v>0</v>
      </c>
      <c r="L33" s="47">
        <v>0</v>
      </c>
    </row>
    <row r="34" spans="1:12" x14ac:dyDescent="0.25">
      <c r="A34" s="2" t="s">
        <v>63</v>
      </c>
      <c r="B34" s="2" t="s">
        <v>66</v>
      </c>
      <c r="C34" s="3"/>
      <c r="D34" s="3"/>
      <c r="E34" s="2"/>
      <c r="F34" s="2"/>
      <c r="G34" s="4"/>
      <c r="H34" s="4"/>
      <c r="I34" s="2" t="s">
        <v>78</v>
      </c>
      <c r="J34" s="2"/>
      <c r="K34" s="47">
        <v>0</v>
      </c>
      <c r="L34" s="47">
        <v>0</v>
      </c>
    </row>
    <row r="35" spans="1:12" x14ac:dyDescent="0.25">
      <c r="A35" s="35" t="s">
        <v>152</v>
      </c>
      <c r="B35" s="36"/>
      <c r="C35" s="37"/>
      <c r="D35" s="37"/>
      <c r="E35" s="36"/>
      <c r="F35" s="36"/>
      <c r="G35" s="50"/>
      <c r="H35" s="50"/>
      <c r="I35" s="36"/>
      <c r="J35" s="36"/>
      <c r="K35" s="37"/>
      <c r="L35" s="50">
        <f>SUBTOTAL(109,Tabela14[Valor])</f>
        <v>10988.67</v>
      </c>
    </row>
  </sheetData>
  <mergeCells count="4">
    <mergeCell ref="K1:L1"/>
    <mergeCell ref="A1:J1"/>
    <mergeCell ref="A2:J2"/>
    <mergeCell ref="K2:L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8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>
    <pageSetUpPr fitToPage="1"/>
  </sheetPr>
  <dimension ref="A1:AH39"/>
  <sheetViews>
    <sheetView zoomScale="85" zoomScaleNormal="85" workbookViewId="0">
      <pane xSplit="1" ySplit="3" topLeftCell="H5" activePane="bottomRight" state="frozen"/>
      <selection pane="topRight" activeCell="B1" sqref="B1"/>
      <selection pane="bottomLeft" activeCell="A4" sqref="A4"/>
      <selection pane="bottomRight" activeCell="L11" sqref="L11"/>
    </sheetView>
  </sheetViews>
  <sheetFormatPr defaultColWidth="9.140625" defaultRowHeight="15" x14ac:dyDescent="0.25"/>
  <cols>
    <col min="1" max="1" width="21.85546875" style="1" bestFit="1" customWidth="1"/>
    <col min="2" max="2" width="49" style="1" bestFit="1" customWidth="1"/>
    <col min="3" max="3" width="14.85546875" style="24" hidden="1" customWidth="1"/>
    <col min="4" max="4" width="14.42578125" style="24" hidden="1" customWidth="1"/>
    <col min="5" max="5" width="23.140625" style="1" hidden="1" customWidth="1"/>
    <col min="6" max="6" width="18.28515625" style="1" hidden="1" customWidth="1"/>
    <col min="7" max="7" width="16" style="8" hidden="1" customWidth="1"/>
    <col min="8" max="8" width="45.28515625" style="8" bestFit="1" customWidth="1"/>
    <col min="9" max="9" width="16.85546875" style="1" customWidth="1"/>
    <col min="10" max="10" width="26.28515625" style="1" bestFit="1" customWidth="1"/>
    <col min="11" max="11" width="11.5703125" style="24" bestFit="1" customWidth="1"/>
    <col min="12" max="12" width="13.42578125" style="8" bestFit="1" customWidth="1"/>
    <col min="13" max="13" width="12.85546875" style="24" customWidth="1"/>
    <col min="14" max="14" width="13.42578125" style="8" bestFit="1" customWidth="1"/>
    <col min="15" max="15" width="11.28515625" style="24" bestFit="1" customWidth="1"/>
    <col min="16" max="16" width="13.42578125" style="8" bestFit="1" customWidth="1"/>
    <col min="17" max="17" width="11.28515625" style="24" bestFit="1" customWidth="1"/>
    <col min="18" max="18" width="13.42578125" style="8" bestFit="1" customWidth="1"/>
    <col min="19" max="19" width="11.28515625" style="24" bestFit="1" customWidth="1"/>
    <col min="20" max="20" width="13.42578125" style="8" bestFit="1" customWidth="1"/>
    <col min="21" max="21" width="11.28515625" style="24" bestFit="1" customWidth="1"/>
    <col min="22" max="22" width="13.42578125" style="8" bestFit="1" customWidth="1"/>
    <col min="23" max="23" width="11.28515625" style="24" bestFit="1" customWidth="1"/>
    <col min="24" max="24" width="13.42578125" style="8" bestFit="1" customWidth="1"/>
    <col min="25" max="25" width="11.28515625" style="24" bestFit="1" customWidth="1"/>
    <col min="26" max="26" width="13.42578125" style="8" bestFit="1" customWidth="1"/>
    <col min="27" max="27" width="12.42578125" style="24" bestFit="1" customWidth="1"/>
    <col min="28" max="28" width="13.42578125" style="8" bestFit="1" customWidth="1"/>
    <col min="29" max="29" width="12.42578125" style="24" bestFit="1" customWidth="1"/>
    <col min="30" max="30" width="13.42578125" style="8" bestFit="1" customWidth="1"/>
    <col min="31" max="31" width="12.42578125" style="24" bestFit="1" customWidth="1"/>
    <col min="32" max="32" width="13.42578125" style="8" bestFit="1" customWidth="1"/>
    <col min="33" max="33" width="12.42578125" style="24" bestFit="1" customWidth="1"/>
    <col min="34" max="34" width="12.85546875" style="8" bestFit="1" customWidth="1"/>
    <col min="35" max="16384" width="9.140625" style="1"/>
  </cols>
  <sheetData>
    <row r="1" spans="1:34" x14ac:dyDescent="0.25">
      <c r="A1" s="175" t="s">
        <v>69</v>
      </c>
      <c r="B1" s="175"/>
      <c r="C1" s="175"/>
      <c r="D1" s="175"/>
      <c r="E1" s="175"/>
      <c r="F1" s="175"/>
      <c r="G1" s="175"/>
      <c r="H1" s="175"/>
      <c r="I1" s="175"/>
      <c r="J1" s="175"/>
      <c r="K1" s="177"/>
      <c r="L1" s="178"/>
      <c r="M1" s="177"/>
      <c r="N1" s="178"/>
      <c r="O1" s="177"/>
      <c r="P1" s="178"/>
      <c r="Q1" s="177"/>
      <c r="R1" s="178"/>
      <c r="S1" s="177"/>
      <c r="T1" s="178"/>
      <c r="U1" s="177"/>
      <c r="V1" s="178"/>
      <c r="W1" s="177"/>
      <c r="X1" s="178"/>
      <c r="Y1" s="177"/>
      <c r="Z1" s="178"/>
      <c r="AA1" s="177"/>
      <c r="AB1" s="178"/>
      <c r="AC1" s="177"/>
      <c r="AD1" s="178"/>
      <c r="AE1" s="177"/>
      <c r="AF1" s="178"/>
      <c r="AG1" s="177"/>
      <c r="AH1" s="178"/>
    </row>
    <row r="2" spans="1:34" x14ac:dyDescent="0.25">
      <c r="A2" s="176" t="s">
        <v>60</v>
      </c>
      <c r="B2" s="176"/>
      <c r="C2" s="176"/>
      <c r="D2" s="176"/>
      <c r="E2" s="176"/>
      <c r="F2" s="176"/>
      <c r="G2" s="176"/>
      <c r="H2" s="176"/>
      <c r="I2" s="176"/>
      <c r="J2" s="176"/>
      <c r="K2" s="170">
        <v>43101</v>
      </c>
      <c r="L2" s="171"/>
      <c r="M2" s="170">
        <v>43132</v>
      </c>
      <c r="N2" s="171"/>
      <c r="O2" s="170">
        <v>43160</v>
      </c>
      <c r="P2" s="171"/>
      <c r="Q2" s="170">
        <v>43191</v>
      </c>
      <c r="R2" s="171"/>
      <c r="S2" s="170">
        <v>43221</v>
      </c>
      <c r="T2" s="171"/>
      <c r="U2" s="170">
        <v>43252</v>
      </c>
      <c r="V2" s="171"/>
      <c r="W2" s="170">
        <v>43282</v>
      </c>
      <c r="X2" s="171"/>
      <c r="Y2" s="170">
        <v>43313</v>
      </c>
      <c r="Z2" s="171"/>
      <c r="AA2" s="170">
        <v>43344</v>
      </c>
      <c r="AB2" s="171"/>
      <c r="AC2" s="170">
        <v>43374</v>
      </c>
      <c r="AD2" s="171"/>
      <c r="AE2" s="170">
        <v>43405</v>
      </c>
      <c r="AF2" s="171"/>
      <c r="AG2" s="170">
        <v>43435</v>
      </c>
      <c r="AH2" s="171"/>
    </row>
    <row r="3" spans="1:34" s="13" customFormat="1" ht="30" x14ac:dyDescent="0.25">
      <c r="A3" s="11" t="s">
        <v>0</v>
      </c>
      <c r="B3" s="43" t="s">
        <v>5</v>
      </c>
      <c r="C3" s="45" t="s">
        <v>3</v>
      </c>
      <c r="D3" s="45" t="s">
        <v>1</v>
      </c>
      <c r="E3" s="43" t="s">
        <v>8</v>
      </c>
      <c r="F3" s="43" t="s">
        <v>2</v>
      </c>
      <c r="G3" s="44" t="s">
        <v>79</v>
      </c>
      <c r="H3" s="44" t="s">
        <v>107</v>
      </c>
      <c r="I3" s="43" t="s">
        <v>19</v>
      </c>
      <c r="J3" s="43" t="s">
        <v>105</v>
      </c>
      <c r="K3" s="45" t="s">
        <v>115</v>
      </c>
      <c r="L3" s="46" t="s">
        <v>116</v>
      </c>
      <c r="M3" s="45" t="s">
        <v>117</v>
      </c>
      <c r="N3" s="46" t="s">
        <v>118</v>
      </c>
      <c r="O3" s="45" t="s">
        <v>119</v>
      </c>
      <c r="P3" s="46" t="s">
        <v>120</v>
      </c>
      <c r="Q3" s="45" t="s">
        <v>121</v>
      </c>
      <c r="R3" s="46" t="s">
        <v>122</v>
      </c>
      <c r="S3" s="45" t="s">
        <v>123</v>
      </c>
      <c r="T3" s="46" t="s">
        <v>124</v>
      </c>
      <c r="U3" s="45" t="s">
        <v>125</v>
      </c>
      <c r="V3" s="46" t="s">
        <v>126</v>
      </c>
      <c r="W3" s="45" t="s">
        <v>127</v>
      </c>
      <c r="X3" s="46" t="s">
        <v>128</v>
      </c>
      <c r="Y3" s="45" t="s">
        <v>129</v>
      </c>
      <c r="Z3" s="46" t="s">
        <v>130</v>
      </c>
      <c r="AA3" s="45" t="s">
        <v>131</v>
      </c>
      <c r="AB3" s="46" t="s">
        <v>132</v>
      </c>
      <c r="AC3" s="45" t="s">
        <v>133</v>
      </c>
      <c r="AD3" s="46" t="s">
        <v>134</v>
      </c>
      <c r="AE3" s="45" t="s">
        <v>135</v>
      </c>
      <c r="AF3" s="46" t="s">
        <v>137</v>
      </c>
      <c r="AG3" s="45" t="s">
        <v>136</v>
      </c>
      <c r="AH3" s="46" t="s">
        <v>138</v>
      </c>
    </row>
    <row r="4" spans="1:34" ht="30" hidden="1" x14ac:dyDescent="0.25">
      <c r="A4" s="2" t="s">
        <v>18</v>
      </c>
      <c r="B4" s="2" t="s">
        <v>4</v>
      </c>
      <c r="C4" s="3">
        <v>41609</v>
      </c>
      <c r="D4" s="3" t="s">
        <v>6</v>
      </c>
      <c r="E4" s="2" t="s">
        <v>12</v>
      </c>
      <c r="F4" s="2" t="s">
        <v>7</v>
      </c>
      <c r="G4" s="4">
        <v>1952.22</v>
      </c>
      <c r="H4" s="4"/>
      <c r="I4" s="2" t="s">
        <v>20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4"/>
      <c r="Y4" s="2"/>
      <c r="Z4" s="4"/>
      <c r="AA4" s="2"/>
      <c r="AB4" s="2"/>
      <c r="AC4" s="2"/>
      <c r="AD4" s="2"/>
      <c r="AE4" s="2"/>
      <c r="AF4" s="2"/>
      <c r="AG4" s="2"/>
      <c r="AH4" s="2"/>
    </row>
    <row r="5" spans="1:34" ht="18.75" customHeight="1" x14ac:dyDescent="0.25">
      <c r="A5" s="25" t="s">
        <v>9</v>
      </c>
      <c r="B5" s="25" t="s">
        <v>10</v>
      </c>
      <c r="C5" s="26">
        <v>41644</v>
      </c>
      <c r="D5" s="26" t="s">
        <v>13</v>
      </c>
      <c r="E5" s="25" t="s">
        <v>14</v>
      </c>
      <c r="F5" s="25" t="s">
        <v>7</v>
      </c>
      <c r="G5" s="27" t="s">
        <v>139</v>
      </c>
      <c r="H5" s="27" t="s">
        <v>145</v>
      </c>
      <c r="I5" s="25" t="s">
        <v>78</v>
      </c>
      <c r="J5" s="25" t="s">
        <v>99</v>
      </c>
      <c r="K5" s="3">
        <v>43103</v>
      </c>
      <c r="L5" s="4">
        <v>4378.59</v>
      </c>
      <c r="M5" s="3">
        <v>43136</v>
      </c>
      <c r="N5" s="4">
        <v>4305.87</v>
      </c>
      <c r="O5" s="3">
        <v>43164</v>
      </c>
      <c r="P5" s="4">
        <v>2922.13</v>
      </c>
      <c r="Q5" s="3">
        <v>43193</v>
      </c>
      <c r="R5" s="4">
        <v>4193.83</v>
      </c>
      <c r="S5" s="3">
        <v>43222</v>
      </c>
      <c r="T5" s="4">
        <v>5424.69</v>
      </c>
      <c r="U5" s="3">
        <v>43255</v>
      </c>
      <c r="V5" s="4">
        <v>4647.62</v>
      </c>
      <c r="W5" s="3">
        <v>43284</v>
      </c>
      <c r="X5" s="4">
        <v>4769.6499999999996</v>
      </c>
      <c r="Y5" s="3">
        <v>43314</v>
      </c>
      <c r="Z5" s="4">
        <v>3899.3</v>
      </c>
      <c r="AA5" s="3">
        <v>43346</v>
      </c>
      <c r="AB5" s="4">
        <v>5217.6000000000004</v>
      </c>
      <c r="AC5" s="3">
        <v>43377</v>
      </c>
      <c r="AD5" s="4">
        <v>3749</v>
      </c>
      <c r="AE5" s="3">
        <v>43410</v>
      </c>
      <c r="AF5" s="4">
        <v>4109</v>
      </c>
      <c r="AG5" s="3">
        <v>43438</v>
      </c>
      <c r="AH5" s="4">
        <v>3467.75</v>
      </c>
    </row>
    <row r="6" spans="1:34" hidden="1" x14ac:dyDescent="0.25">
      <c r="A6" s="2" t="s">
        <v>17</v>
      </c>
      <c r="B6" s="2" t="s">
        <v>11</v>
      </c>
      <c r="C6" s="3">
        <v>42156</v>
      </c>
      <c r="D6" s="3" t="s">
        <v>13</v>
      </c>
      <c r="E6" s="2" t="s">
        <v>14</v>
      </c>
      <c r="F6" s="2" t="s">
        <v>15</v>
      </c>
      <c r="G6" s="4">
        <v>740</v>
      </c>
      <c r="H6" s="27" t="s">
        <v>140</v>
      </c>
      <c r="I6" s="2" t="s">
        <v>155</v>
      </c>
      <c r="J6" s="2"/>
      <c r="K6" s="3"/>
      <c r="L6" s="2"/>
      <c r="M6" s="3"/>
      <c r="N6" s="2"/>
      <c r="O6" s="2"/>
      <c r="P6" s="2"/>
      <c r="Q6" s="2"/>
      <c r="R6" s="2"/>
      <c r="S6" s="2"/>
      <c r="T6" s="2"/>
      <c r="U6" s="2"/>
      <c r="V6" s="2"/>
      <c r="W6" s="3">
        <v>43286</v>
      </c>
      <c r="X6" s="4">
        <v>940</v>
      </c>
      <c r="Y6" s="3">
        <v>43314</v>
      </c>
      <c r="Z6" s="4">
        <v>1240</v>
      </c>
      <c r="AA6" s="2"/>
      <c r="AB6" s="2"/>
      <c r="AC6" s="2"/>
      <c r="AD6" s="2"/>
      <c r="AE6" s="2"/>
      <c r="AF6" s="2"/>
      <c r="AG6" s="2"/>
      <c r="AH6" s="2"/>
    </row>
    <row r="7" spans="1:34" hidden="1" x14ac:dyDescent="0.25">
      <c r="A7" s="2" t="s">
        <v>16</v>
      </c>
      <c r="B7" s="2" t="s">
        <v>21</v>
      </c>
      <c r="C7" s="3">
        <v>38936</v>
      </c>
      <c r="D7" s="3" t="s">
        <v>13</v>
      </c>
      <c r="E7" s="2" t="s">
        <v>12</v>
      </c>
      <c r="F7" s="2" t="s">
        <v>7</v>
      </c>
      <c r="G7" s="4">
        <v>228</v>
      </c>
      <c r="H7" s="4"/>
      <c r="I7" s="2" t="s">
        <v>100</v>
      </c>
      <c r="J7" s="2"/>
      <c r="K7" s="3"/>
      <c r="L7" s="2"/>
      <c r="M7" s="3"/>
      <c r="N7" s="2"/>
      <c r="O7" s="2"/>
      <c r="P7" s="2"/>
      <c r="Q7" s="2"/>
      <c r="R7" s="2"/>
      <c r="S7" s="2"/>
      <c r="T7" s="2"/>
      <c r="U7" s="2"/>
      <c r="V7" s="2"/>
      <c r="W7" s="2"/>
      <c r="X7" s="4"/>
      <c r="Y7" s="3"/>
      <c r="Z7" s="4"/>
      <c r="AA7" s="2"/>
      <c r="AB7" s="2"/>
      <c r="AC7" s="2"/>
      <c r="AD7" s="2"/>
      <c r="AE7" s="2"/>
      <c r="AF7" s="2"/>
      <c r="AG7" s="2"/>
      <c r="AH7" s="2"/>
    </row>
    <row r="8" spans="1:34" hidden="1" x14ac:dyDescent="0.25">
      <c r="A8" s="2" t="s">
        <v>22</v>
      </c>
      <c r="B8" s="2" t="s">
        <v>23</v>
      </c>
      <c r="C8" s="3">
        <v>2013</v>
      </c>
      <c r="D8" s="3" t="s">
        <v>6</v>
      </c>
      <c r="E8" s="2" t="s">
        <v>6</v>
      </c>
      <c r="F8" s="2" t="s">
        <v>7</v>
      </c>
      <c r="G8" s="4">
        <v>200</v>
      </c>
      <c r="H8" s="4"/>
      <c r="I8" s="2" t="s">
        <v>20</v>
      </c>
      <c r="J8" s="2"/>
      <c r="K8" s="3"/>
      <c r="L8" s="2"/>
      <c r="M8" s="3"/>
      <c r="N8" s="2"/>
      <c r="O8" s="2"/>
      <c r="P8" s="2"/>
      <c r="Q8" s="2"/>
      <c r="R8" s="2"/>
      <c r="S8" s="2"/>
      <c r="T8" s="2"/>
      <c r="U8" s="2"/>
      <c r="V8" s="2"/>
      <c r="W8" s="2"/>
      <c r="X8" s="4"/>
      <c r="Y8" s="3"/>
      <c r="Z8" s="4"/>
      <c r="AA8" s="2"/>
      <c r="AB8" s="2"/>
      <c r="AC8" s="2"/>
      <c r="AD8" s="2"/>
      <c r="AE8" s="2"/>
      <c r="AF8" s="2"/>
      <c r="AG8" s="2"/>
      <c r="AH8" s="2"/>
    </row>
    <row r="9" spans="1:34" x14ac:dyDescent="0.25">
      <c r="A9" s="25" t="s">
        <v>24</v>
      </c>
      <c r="B9" s="25" t="s">
        <v>25</v>
      </c>
      <c r="C9" s="26"/>
      <c r="D9" s="26"/>
      <c r="E9" s="25"/>
      <c r="F9" s="25"/>
      <c r="G9" s="27">
        <v>580</v>
      </c>
      <c r="H9" s="27" t="s">
        <v>141</v>
      </c>
      <c r="I9" s="25" t="s">
        <v>78</v>
      </c>
      <c r="J9" s="25"/>
      <c r="K9" s="42">
        <v>0</v>
      </c>
      <c r="L9" s="42">
        <v>0</v>
      </c>
      <c r="M9" s="3">
        <v>43151</v>
      </c>
      <c r="N9" s="40">
        <v>580</v>
      </c>
      <c r="O9" s="3">
        <v>43175</v>
      </c>
      <c r="P9" s="40">
        <v>580</v>
      </c>
      <c r="Q9" s="3">
        <v>43201</v>
      </c>
      <c r="R9" s="40">
        <v>580</v>
      </c>
      <c r="S9" s="3">
        <v>43243</v>
      </c>
      <c r="T9" s="40">
        <v>580</v>
      </c>
      <c r="U9" s="3">
        <v>43266</v>
      </c>
      <c r="V9" s="40">
        <v>580</v>
      </c>
      <c r="W9" s="3">
        <v>43294</v>
      </c>
      <c r="X9" s="40">
        <v>580</v>
      </c>
      <c r="Y9" s="3">
        <v>43333</v>
      </c>
      <c r="Z9" s="40">
        <v>580</v>
      </c>
      <c r="AA9" s="3">
        <v>43363</v>
      </c>
      <c r="AB9" s="40">
        <v>580</v>
      </c>
      <c r="AC9" s="3">
        <v>43392</v>
      </c>
      <c r="AD9" s="40">
        <v>580</v>
      </c>
      <c r="AE9" s="3">
        <v>43416</v>
      </c>
      <c r="AF9" s="40">
        <v>580</v>
      </c>
      <c r="AG9" s="3">
        <v>43446</v>
      </c>
      <c r="AH9" s="40">
        <v>580</v>
      </c>
    </row>
    <row r="10" spans="1:34" hidden="1" x14ac:dyDescent="0.25">
      <c r="A10" s="25" t="s">
        <v>26</v>
      </c>
      <c r="B10" s="25" t="s">
        <v>27</v>
      </c>
      <c r="C10" s="27">
        <v>42675</v>
      </c>
      <c r="D10" s="27" t="s">
        <v>28</v>
      </c>
      <c r="E10" s="25" t="s">
        <v>6</v>
      </c>
      <c r="F10" s="42" t="s">
        <v>29</v>
      </c>
      <c r="G10" s="42" t="s">
        <v>149</v>
      </c>
      <c r="H10" s="42" t="s">
        <v>149</v>
      </c>
      <c r="I10" s="42" t="s">
        <v>149</v>
      </c>
      <c r="J10" s="42" t="s">
        <v>149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40"/>
      <c r="Y10" s="3"/>
      <c r="Z10" s="40"/>
      <c r="AA10" s="2"/>
      <c r="AB10" s="2"/>
      <c r="AC10" s="2"/>
      <c r="AD10" s="2"/>
      <c r="AE10" s="2"/>
      <c r="AF10" s="2"/>
      <c r="AG10" s="2"/>
      <c r="AH10" s="2"/>
    </row>
    <row r="11" spans="1:34" x14ac:dyDescent="0.25">
      <c r="A11" s="25" t="s">
        <v>31</v>
      </c>
      <c r="B11" s="25" t="s">
        <v>32</v>
      </c>
      <c r="C11" s="26">
        <v>42894</v>
      </c>
      <c r="D11" s="26" t="s">
        <v>33</v>
      </c>
      <c r="E11" s="25" t="s">
        <v>34</v>
      </c>
      <c r="F11" s="25" t="s">
        <v>7</v>
      </c>
      <c r="G11" s="27">
        <v>1399.78</v>
      </c>
      <c r="H11" s="27" t="s">
        <v>110</v>
      </c>
      <c r="I11" s="25" t="s">
        <v>78</v>
      </c>
      <c r="J11" s="25"/>
      <c r="K11" s="3">
        <v>43110</v>
      </c>
      <c r="L11" s="4">
        <v>1399.78</v>
      </c>
      <c r="M11" s="3">
        <v>43137</v>
      </c>
      <c r="N11" s="4">
        <v>1399.78</v>
      </c>
      <c r="O11" s="3">
        <v>43160</v>
      </c>
      <c r="P11" s="4">
        <v>1399.78</v>
      </c>
      <c r="Q11" s="3">
        <v>43193</v>
      </c>
      <c r="R11" s="4">
        <v>1399.78</v>
      </c>
      <c r="S11" s="3">
        <v>43222</v>
      </c>
      <c r="T11" s="4">
        <v>1399.78</v>
      </c>
      <c r="U11" s="3">
        <v>43252</v>
      </c>
      <c r="V11" s="4">
        <v>1399.78</v>
      </c>
      <c r="W11" s="3">
        <v>43283</v>
      </c>
      <c r="X11" s="4">
        <v>1399.78</v>
      </c>
      <c r="Y11" s="3">
        <v>43319</v>
      </c>
      <c r="Z11" s="4">
        <v>1399.78</v>
      </c>
      <c r="AA11" s="3">
        <v>43347</v>
      </c>
      <c r="AB11" s="4">
        <v>1399.78</v>
      </c>
      <c r="AC11" s="3">
        <v>43374</v>
      </c>
      <c r="AD11" s="4">
        <v>1399.78</v>
      </c>
      <c r="AE11" s="3">
        <v>43374</v>
      </c>
      <c r="AF11" s="4">
        <v>1399.78</v>
      </c>
      <c r="AG11" s="3">
        <v>43438</v>
      </c>
      <c r="AH11" s="4">
        <v>1399.78</v>
      </c>
    </row>
    <row r="12" spans="1:34" hidden="1" x14ac:dyDescent="0.25">
      <c r="A12" s="2" t="s">
        <v>35</v>
      </c>
      <c r="B12" s="2" t="s">
        <v>36</v>
      </c>
      <c r="C12" s="3">
        <v>41620</v>
      </c>
      <c r="D12" s="3" t="s">
        <v>6</v>
      </c>
      <c r="E12" s="2" t="s">
        <v>6</v>
      </c>
      <c r="F12" s="2" t="s">
        <v>7</v>
      </c>
      <c r="G12" s="4">
        <v>134.9</v>
      </c>
      <c r="H12" s="4"/>
      <c r="I12" s="2" t="s">
        <v>20</v>
      </c>
      <c r="J12" s="2"/>
      <c r="K12" s="3"/>
      <c r="L12" s="2"/>
      <c r="M12" s="3"/>
      <c r="N12" s="2"/>
      <c r="O12" s="2"/>
      <c r="P12" s="2"/>
      <c r="Q12" s="2"/>
      <c r="R12" s="2"/>
      <c r="S12" s="2"/>
      <c r="T12" s="2"/>
      <c r="U12" s="2"/>
      <c r="V12" s="2"/>
      <c r="W12" s="2"/>
      <c r="X12" s="4"/>
      <c r="Y12" s="3"/>
      <c r="Z12" s="4"/>
      <c r="AA12" s="2"/>
      <c r="AB12" s="2"/>
      <c r="AC12" s="2"/>
      <c r="AD12" s="2"/>
      <c r="AE12" s="2"/>
      <c r="AF12" s="2"/>
      <c r="AG12" s="2"/>
      <c r="AH12" s="2"/>
    </row>
    <row r="13" spans="1:34" hidden="1" x14ac:dyDescent="0.25">
      <c r="A13" s="2" t="s">
        <v>35</v>
      </c>
      <c r="B13" s="2" t="s">
        <v>40</v>
      </c>
      <c r="C13" s="3">
        <v>41620</v>
      </c>
      <c r="D13" s="3" t="s">
        <v>6</v>
      </c>
      <c r="E13" s="2" t="s">
        <v>6</v>
      </c>
      <c r="F13" s="2" t="s">
        <v>15</v>
      </c>
      <c r="G13" s="4" t="s">
        <v>41</v>
      </c>
      <c r="H13" s="4"/>
      <c r="I13" s="2" t="s">
        <v>20</v>
      </c>
      <c r="J13" s="2"/>
      <c r="K13" s="3"/>
      <c r="L13" s="2"/>
      <c r="M13" s="3"/>
      <c r="N13" s="2"/>
      <c r="O13" s="2"/>
      <c r="P13" s="2"/>
      <c r="Q13" s="2"/>
      <c r="R13" s="2"/>
      <c r="S13" s="2"/>
      <c r="T13" s="2"/>
      <c r="U13" s="2"/>
      <c r="V13" s="2"/>
      <c r="W13" s="2"/>
      <c r="X13" s="4"/>
      <c r="Y13" s="3"/>
      <c r="Z13" s="4"/>
      <c r="AA13" s="2"/>
      <c r="AB13" s="2"/>
      <c r="AC13" s="2"/>
      <c r="AD13" s="2"/>
      <c r="AE13" s="2"/>
      <c r="AF13" s="2"/>
      <c r="AG13" s="2"/>
      <c r="AH13" s="2"/>
    </row>
    <row r="14" spans="1:34" x14ac:dyDescent="0.25">
      <c r="A14" s="25" t="s">
        <v>42</v>
      </c>
      <c r="B14" s="25" t="s">
        <v>85</v>
      </c>
      <c r="C14" s="26">
        <v>40606</v>
      </c>
      <c r="D14" s="26" t="s">
        <v>13</v>
      </c>
      <c r="E14" s="25" t="s">
        <v>12</v>
      </c>
      <c r="F14" s="25" t="s">
        <v>7</v>
      </c>
      <c r="G14" s="27">
        <v>468</v>
      </c>
      <c r="H14" s="27" t="s">
        <v>141</v>
      </c>
      <c r="I14" s="25" t="s">
        <v>78</v>
      </c>
      <c r="J14" s="25"/>
      <c r="K14" s="3">
        <v>43111</v>
      </c>
      <c r="L14" s="4">
        <v>928</v>
      </c>
      <c r="M14" s="3">
        <v>43158</v>
      </c>
      <c r="N14" s="4">
        <v>698</v>
      </c>
      <c r="O14" s="3">
        <v>43166</v>
      </c>
      <c r="P14" s="4">
        <v>900</v>
      </c>
      <c r="Q14" s="3">
        <v>43217</v>
      </c>
      <c r="R14" s="4">
        <v>900</v>
      </c>
      <c r="S14" s="3">
        <v>43242</v>
      </c>
      <c r="T14" s="4">
        <v>900</v>
      </c>
      <c r="U14" s="3">
        <v>43264</v>
      </c>
      <c r="V14" s="4">
        <v>900</v>
      </c>
      <c r="W14" s="3">
        <v>43285</v>
      </c>
      <c r="X14" s="4">
        <v>900</v>
      </c>
      <c r="Y14" s="3">
        <v>43318</v>
      </c>
      <c r="Z14" s="4">
        <f>202+698</f>
        <v>900</v>
      </c>
      <c r="AA14" s="3">
        <v>43353</v>
      </c>
      <c r="AB14" s="4">
        <v>900</v>
      </c>
      <c r="AC14" s="3">
        <v>43382</v>
      </c>
      <c r="AD14" s="4">
        <f>202+698</f>
        <v>900</v>
      </c>
      <c r="AE14" s="3">
        <v>43420</v>
      </c>
      <c r="AF14" s="4">
        <f>202+698</f>
        <v>900</v>
      </c>
      <c r="AG14" s="3">
        <v>43438</v>
      </c>
      <c r="AH14" s="4">
        <f>202+698</f>
        <v>900</v>
      </c>
    </row>
    <row r="15" spans="1:34" hidden="1" x14ac:dyDescent="0.25">
      <c r="A15" s="2" t="s">
        <v>80</v>
      </c>
      <c r="B15" s="2" t="s">
        <v>81</v>
      </c>
      <c r="C15" s="3"/>
      <c r="D15" s="3" t="s">
        <v>6</v>
      </c>
      <c r="E15" s="2" t="s">
        <v>89</v>
      </c>
      <c r="F15" s="2"/>
      <c r="G15" s="4">
        <v>2150</v>
      </c>
      <c r="H15" s="4"/>
      <c r="I15" s="2" t="s">
        <v>82</v>
      </c>
      <c r="J15" s="2"/>
      <c r="K15" s="3"/>
      <c r="L15" s="2"/>
      <c r="M15" s="3"/>
      <c r="N15" s="2"/>
      <c r="O15" s="2"/>
      <c r="P15" s="2"/>
      <c r="Q15" s="2"/>
      <c r="R15" s="2"/>
      <c r="S15" s="2"/>
      <c r="T15" s="2"/>
      <c r="U15" s="2"/>
      <c r="V15" s="2"/>
      <c r="W15" s="2"/>
      <c r="X15" s="4"/>
      <c r="Y15" s="3"/>
      <c r="Z15" s="4"/>
      <c r="AA15" s="2"/>
      <c r="AB15" s="2"/>
      <c r="AC15" s="2"/>
      <c r="AD15" s="2"/>
      <c r="AE15" s="2"/>
      <c r="AF15" s="2"/>
      <c r="AG15" s="2"/>
      <c r="AH15" s="2"/>
    </row>
    <row r="16" spans="1:34" hidden="1" x14ac:dyDescent="0.25">
      <c r="A16" s="25" t="s">
        <v>43</v>
      </c>
      <c r="B16" s="25" t="s">
        <v>103</v>
      </c>
      <c r="C16" s="26">
        <v>42880</v>
      </c>
      <c r="D16" s="26" t="s">
        <v>6</v>
      </c>
      <c r="E16" s="25" t="s">
        <v>6</v>
      </c>
      <c r="F16" s="25" t="s">
        <v>7</v>
      </c>
      <c r="G16" s="27">
        <v>392</v>
      </c>
      <c r="H16" s="27" t="s">
        <v>140</v>
      </c>
      <c r="I16" s="25" t="s">
        <v>149</v>
      </c>
      <c r="J16" s="41" t="s">
        <v>144</v>
      </c>
      <c r="K16" s="47">
        <v>0</v>
      </c>
      <c r="L16" s="47">
        <v>0</v>
      </c>
      <c r="M16" s="47">
        <v>0</v>
      </c>
      <c r="N16" s="48">
        <v>0</v>
      </c>
      <c r="O16" s="3"/>
      <c r="P16" s="4"/>
      <c r="Q16" s="3"/>
      <c r="R16" s="4"/>
      <c r="S16" s="3"/>
      <c r="T16" s="4"/>
      <c r="U16" s="3"/>
      <c r="V16" s="4"/>
      <c r="W16" s="3"/>
      <c r="X16" s="4"/>
      <c r="Y16" s="3"/>
      <c r="Z16" s="4"/>
      <c r="AA16" s="3"/>
      <c r="AB16" s="4"/>
      <c r="AC16" s="3"/>
      <c r="AD16" s="4"/>
      <c r="AE16" s="3"/>
      <c r="AF16" s="4"/>
      <c r="AG16" s="3"/>
      <c r="AH16" s="4"/>
    </row>
    <row r="17" spans="1:34" x14ac:dyDescent="0.25">
      <c r="A17" s="25" t="s">
        <v>142</v>
      </c>
      <c r="B17" s="25" t="s">
        <v>143</v>
      </c>
      <c r="C17" s="26"/>
      <c r="D17" s="26"/>
      <c r="E17" s="25"/>
      <c r="F17" s="25"/>
      <c r="G17" s="27">
        <v>3000</v>
      </c>
      <c r="H17" s="27" t="s">
        <v>140</v>
      </c>
      <c r="I17" s="25" t="s">
        <v>78</v>
      </c>
      <c r="J17" s="25"/>
      <c r="K17" s="42">
        <v>0</v>
      </c>
      <c r="L17" s="42">
        <v>0</v>
      </c>
      <c r="M17" s="3">
        <v>43147</v>
      </c>
      <c r="N17" s="40">
        <v>3000</v>
      </c>
      <c r="O17" s="3">
        <v>43168</v>
      </c>
      <c r="P17" s="40">
        <v>3000</v>
      </c>
      <c r="Q17" s="3">
        <v>43196</v>
      </c>
      <c r="R17" s="40">
        <v>3000</v>
      </c>
      <c r="S17" s="3">
        <v>43228</v>
      </c>
      <c r="T17" s="40">
        <v>3000</v>
      </c>
      <c r="U17" s="3">
        <v>43255</v>
      </c>
      <c r="V17" s="40">
        <v>3000</v>
      </c>
      <c r="W17" s="3">
        <v>43286</v>
      </c>
      <c r="X17" s="40">
        <v>3000</v>
      </c>
      <c r="Y17" s="3">
        <v>43318</v>
      </c>
      <c r="Z17" s="40">
        <v>3000</v>
      </c>
      <c r="AA17" s="3">
        <v>43348</v>
      </c>
      <c r="AB17" s="40">
        <v>3000</v>
      </c>
      <c r="AC17" s="3">
        <v>43375</v>
      </c>
      <c r="AD17" s="40">
        <v>3000</v>
      </c>
      <c r="AE17" s="3">
        <v>43412</v>
      </c>
      <c r="AF17" s="40">
        <v>3000</v>
      </c>
      <c r="AG17" s="3">
        <v>43437</v>
      </c>
      <c r="AH17" s="40">
        <v>3000</v>
      </c>
    </row>
    <row r="18" spans="1:34" x14ac:dyDescent="0.25">
      <c r="A18" s="25" t="s">
        <v>83</v>
      </c>
      <c r="B18" s="25" t="s">
        <v>84</v>
      </c>
      <c r="C18" s="26"/>
      <c r="D18" s="26">
        <v>44013</v>
      </c>
      <c r="E18" s="25"/>
      <c r="F18" s="25"/>
      <c r="G18" s="27">
        <v>2253.75</v>
      </c>
      <c r="H18" s="27" t="s">
        <v>111</v>
      </c>
      <c r="I18" s="25" t="s">
        <v>78</v>
      </c>
      <c r="J18" s="25" t="s">
        <v>154</v>
      </c>
      <c r="K18" s="3">
        <v>43117</v>
      </c>
      <c r="L18" s="4" t="s">
        <v>153</v>
      </c>
      <c r="M18" s="3">
        <v>43150</v>
      </c>
      <c r="N18" s="4" t="s">
        <v>153</v>
      </c>
      <c r="O18" s="3">
        <v>43171</v>
      </c>
      <c r="P18" s="4" t="s">
        <v>153</v>
      </c>
      <c r="Q18" s="3">
        <v>43216</v>
      </c>
      <c r="R18" s="4" t="s">
        <v>153</v>
      </c>
      <c r="S18" s="3">
        <v>43235</v>
      </c>
      <c r="T18" s="4" t="s">
        <v>153</v>
      </c>
      <c r="U18" s="3">
        <v>43264</v>
      </c>
      <c r="V18" s="4" t="s">
        <v>153</v>
      </c>
      <c r="W18" s="3">
        <v>43292</v>
      </c>
      <c r="X18" s="4" t="s">
        <v>153</v>
      </c>
      <c r="Y18" s="3">
        <v>43329</v>
      </c>
      <c r="Z18" s="4" t="s">
        <v>153</v>
      </c>
      <c r="AA18" s="3">
        <v>43355</v>
      </c>
      <c r="AB18" s="4" t="s">
        <v>153</v>
      </c>
      <c r="AC18" s="3">
        <v>43382</v>
      </c>
      <c r="AD18" s="4" t="s">
        <v>153</v>
      </c>
      <c r="AE18" s="3">
        <v>43412</v>
      </c>
      <c r="AF18" s="4" t="s">
        <v>153</v>
      </c>
      <c r="AG18" s="3">
        <v>43438</v>
      </c>
      <c r="AH18" s="4" t="s">
        <v>153</v>
      </c>
    </row>
    <row r="19" spans="1:34" x14ac:dyDescent="0.25">
      <c r="A19" s="25" t="s">
        <v>44</v>
      </c>
      <c r="B19" s="25" t="s">
        <v>86</v>
      </c>
      <c r="C19" s="26"/>
      <c r="D19" s="26" t="s">
        <v>6</v>
      </c>
      <c r="E19" s="25" t="s">
        <v>89</v>
      </c>
      <c r="F19" s="25"/>
      <c r="G19" s="27">
        <v>1081.6099999999999</v>
      </c>
      <c r="H19" s="27" t="s">
        <v>110</v>
      </c>
      <c r="I19" s="25" t="s">
        <v>78</v>
      </c>
      <c r="J19" s="25"/>
      <c r="K19" s="3">
        <v>43102</v>
      </c>
      <c r="L19" s="4">
        <v>1081.6099999999999</v>
      </c>
      <c r="M19" s="3">
        <v>43132</v>
      </c>
      <c r="N19" s="4">
        <v>1081.6099999999999</v>
      </c>
      <c r="O19" s="3">
        <v>43165</v>
      </c>
      <c r="P19" s="4">
        <v>1081.6099999999999</v>
      </c>
      <c r="Q19" s="3">
        <v>43194</v>
      </c>
      <c r="R19" s="4">
        <v>1081.6099999999999</v>
      </c>
      <c r="S19" s="3">
        <v>43222</v>
      </c>
      <c r="T19" s="4">
        <v>1081.6099999999999</v>
      </c>
      <c r="U19" s="3">
        <v>43253</v>
      </c>
      <c r="V19" s="4">
        <v>1081.6099999999999</v>
      </c>
      <c r="W19" s="3">
        <v>43284</v>
      </c>
      <c r="X19" s="4">
        <v>1081.6099999999999</v>
      </c>
      <c r="Y19" s="3">
        <v>43315</v>
      </c>
      <c r="Z19" s="4">
        <v>1081.6099999999999</v>
      </c>
      <c r="AA19" s="3">
        <v>43346</v>
      </c>
      <c r="AB19" s="4">
        <v>1081.6099999999999</v>
      </c>
      <c r="AC19" s="3">
        <v>43375</v>
      </c>
      <c r="AD19" s="4">
        <v>1179.6300000000001</v>
      </c>
      <c r="AE19" s="3">
        <v>43375</v>
      </c>
      <c r="AF19" s="4">
        <v>1179.6300000000001</v>
      </c>
      <c r="AG19" s="3">
        <v>43438</v>
      </c>
      <c r="AH19" s="4">
        <v>1179.6300000000001</v>
      </c>
    </row>
    <row r="20" spans="1:34" hidden="1" x14ac:dyDescent="0.25">
      <c r="A20" s="2" t="s">
        <v>166</v>
      </c>
      <c r="B20" s="2" t="s">
        <v>88</v>
      </c>
      <c r="C20" s="3"/>
      <c r="D20" s="3" t="s">
        <v>6</v>
      </c>
      <c r="E20" s="2" t="s">
        <v>89</v>
      </c>
      <c r="F20" s="2"/>
      <c r="G20" s="4">
        <v>297.77</v>
      </c>
      <c r="H20" s="4" t="s">
        <v>164</v>
      </c>
      <c r="I20" s="2" t="s">
        <v>156</v>
      </c>
      <c r="J20" s="2"/>
      <c r="K20" s="3"/>
      <c r="L20" s="2"/>
      <c r="M20" s="3"/>
      <c r="N20" s="2"/>
      <c r="O20" s="2"/>
      <c r="P20" s="2"/>
      <c r="Q20" s="2"/>
      <c r="R20" s="2"/>
      <c r="S20" s="2"/>
      <c r="T20" s="2"/>
      <c r="U20" s="2"/>
      <c r="V20" s="2"/>
      <c r="W20" s="2"/>
      <c r="X20" s="4"/>
      <c r="Y20" s="3"/>
      <c r="Z20" s="4"/>
      <c r="AA20" s="2"/>
      <c r="AB20" s="2"/>
      <c r="AC20" s="2"/>
      <c r="AD20" s="2"/>
      <c r="AE20" s="2"/>
      <c r="AF20" s="2"/>
      <c r="AG20" s="2"/>
      <c r="AH20" s="2"/>
    </row>
    <row r="21" spans="1:34" hidden="1" x14ac:dyDescent="0.25">
      <c r="A21" s="2" t="s">
        <v>91</v>
      </c>
      <c r="B21" s="2" t="s">
        <v>92</v>
      </c>
      <c r="C21" s="3"/>
      <c r="D21" s="3" t="s">
        <v>6</v>
      </c>
      <c r="E21" s="2" t="s">
        <v>89</v>
      </c>
      <c r="F21" s="2"/>
      <c r="G21" s="4">
        <v>722.62</v>
      </c>
      <c r="H21" s="4" t="s">
        <v>165</v>
      </c>
      <c r="I21" s="2" t="s">
        <v>156</v>
      </c>
      <c r="J21" s="2"/>
      <c r="K21" s="3"/>
      <c r="L21" s="2"/>
      <c r="M21" s="3"/>
      <c r="N21" s="2"/>
      <c r="O21" s="2"/>
      <c r="P21" s="2"/>
      <c r="Q21" s="2"/>
      <c r="R21" s="2"/>
      <c r="S21" s="2"/>
      <c r="T21" s="2"/>
      <c r="U21" s="2"/>
      <c r="V21" s="2"/>
      <c r="W21" s="2"/>
      <c r="X21" s="4"/>
      <c r="Y21" s="3"/>
      <c r="Z21" s="4"/>
      <c r="AA21" s="2"/>
      <c r="AB21" s="2"/>
      <c r="AC21" s="2"/>
      <c r="AD21" s="2"/>
      <c r="AE21" s="2"/>
      <c r="AF21" s="2"/>
      <c r="AG21" s="2"/>
      <c r="AH21" s="2"/>
    </row>
    <row r="22" spans="1:34" x14ac:dyDescent="0.25">
      <c r="A22" s="2" t="s">
        <v>95</v>
      </c>
      <c r="B22" s="2" t="s">
        <v>96</v>
      </c>
      <c r="C22" s="3"/>
      <c r="D22" s="3" t="s">
        <v>6</v>
      </c>
      <c r="E22" s="2" t="s">
        <v>89</v>
      </c>
      <c r="F22" s="2"/>
      <c r="G22" s="4">
        <v>220</v>
      </c>
      <c r="H22" s="4" t="s">
        <v>147</v>
      </c>
      <c r="I22" s="2" t="s">
        <v>78</v>
      </c>
      <c r="J22" s="2" t="s">
        <v>148</v>
      </c>
      <c r="K22" s="3">
        <v>43116</v>
      </c>
      <c r="L22" s="4">
        <v>220</v>
      </c>
      <c r="M22" s="3">
        <v>43147</v>
      </c>
      <c r="N22" s="4">
        <v>440</v>
      </c>
      <c r="O22" s="3">
        <v>43175</v>
      </c>
      <c r="P22" s="4">
        <v>440</v>
      </c>
      <c r="Q22" s="3">
        <v>43206</v>
      </c>
      <c r="R22" s="4">
        <v>660</v>
      </c>
      <c r="S22" s="3">
        <v>43236</v>
      </c>
      <c r="T22" s="4">
        <v>440</v>
      </c>
      <c r="U22" s="3">
        <v>43269</v>
      </c>
      <c r="V22" s="4">
        <v>440</v>
      </c>
      <c r="W22" s="3">
        <v>43297</v>
      </c>
      <c r="X22" s="4">
        <v>660</v>
      </c>
      <c r="Y22" s="3">
        <v>43328</v>
      </c>
      <c r="Z22" s="4">
        <v>440</v>
      </c>
      <c r="AA22" s="3">
        <v>43360</v>
      </c>
      <c r="AB22" s="4">
        <v>880</v>
      </c>
      <c r="AC22" s="3">
        <v>43389</v>
      </c>
      <c r="AD22" s="4">
        <f>660+260</f>
        <v>920</v>
      </c>
      <c r="AE22" s="3">
        <v>43420</v>
      </c>
      <c r="AF22" s="4">
        <v>1140</v>
      </c>
      <c r="AG22" s="3">
        <v>43437</v>
      </c>
      <c r="AH22" s="4">
        <v>440</v>
      </c>
    </row>
    <row r="23" spans="1:34" x14ac:dyDescent="0.25">
      <c r="A23" s="2" t="s">
        <v>150</v>
      </c>
      <c r="B23" s="2" t="s">
        <v>151</v>
      </c>
      <c r="C23" s="3"/>
      <c r="D23" s="3"/>
      <c r="E23" s="2"/>
      <c r="F23" s="2"/>
      <c r="G23" s="4"/>
      <c r="H23" s="27" t="s">
        <v>110</v>
      </c>
      <c r="I23" s="2" t="s">
        <v>78</v>
      </c>
      <c r="J23" s="2"/>
      <c r="K23" s="47">
        <v>0</v>
      </c>
      <c r="L23" s="47">
        <v>0</v>
      </c>
      <c r="M23" s="47">
        <v>0</v>
      </c>
      <c r="N23" s="47">
        <v>0</v>
      </c>
      <c r="O23" s="3">
        <v>43175</v>
      </c>
      <c r="P23" s="4">
        <v>3300</v>
      </c>
      <c r="Q23" s="3">
        <v>43207</v>
      </c>
      <c r="R23" s="4">
        <v>3300</v>
      </c>
      <c r="S23" s="3">
        <v>43236</v>
      </c>
      <c r="T23" s="4">
        <v>3300</v>
      </c>
      <c r="U23" s="3">
        <v>43270</v>
      </c>
      <c r="V23" s="4">
        <v>3300</v>
      </c>
      <c r="W23" s="3">
        <v>43298</v>
      </c>
      <c r="X23" s="4">
        <v>3300</v>
      </c>
      <c r="Y23" s="3">
        <v>43332</v>
      </c>
      <c r="Z23" s="4">
        <v>3300</v>
      </c>
      <c r="AA23" s="3">
        <v>43363</v>
      </c>
      <c r="AB23" s="4">
        <v>3300</v>
      </c>
      <c r="AC23" s="3">
        <v>43389</v>
      </c>
      <c r="AD23" s="4">
        <v>3300</v>
      </c>
      <c r="AE23" s="3">
        <v>43430</v>
      </c>
      <c r="AF23" s="4">
        <v>3300</v>
      </c>
      <c r="AG23" s="3">
        <v>43439</v>
      </c>
      <c r="AH23" s="4">
        <v>3300</v>
      </c>
    </row>
    <row r="24" spans="1:34" hidden="1" x14ac:dyDescent="0.25">
      <c r="A24" s="2" t="s">
        <v>97</v>
      </c>
      <c r="B24" s="2" t="s">
        <v>98</v>
      </c>
      <c r="C24" s="3"/>
      <c r="D24" s="3">
        <v>43252</v>
      </c>
      <c r="E24" s="2"/>
      <c r="F24" s="2"/>
      <c r="G24" s="4">
        <v>1000</v>
      </c>
      <c r="H24" s="4"/>
      <c r="I24" s="2" t="s">
        <v>82</v>
      </c>
      <c r="J24" s="2"/>
      <c r="K24" s="3"/>
      <c r="L24" s="2"/>
      <c r="M24" s="3"/>
      <c r="N24" s="2"/>
      <c r="O24" s="2"/>
      <c r="P24" s="2"/>
      <c r="Q24" s="2"/>
      <c r="R24" s="2"/>
      <c r="S24" s="2"/>
      <c r="T24" s="2"/>
      <c r="U24" s="2"/>
      <c r="V24" s="2"/>
      <c r="W24" s="2"/>
      <c r="X24" s="4"/>
      <c r="Y24" s="3"/>
      <c r="Z24" s="4"/>
      <c r="AA24" s="3"/>
      <c r="AB24" s="2"/>
      <c r="AC24" s="2"/>
      <c r="AD24" s="2"/>
      <c r="AE24" s="2"/>
      <c r="AF24" s="2"/>
      <c r="AG24" s="2"/>
      <c r="AH24" s="2"/>
    </row>
    <row r="25" spans="1:34" hidden="1" x14ac:dyDescent="0.25">
      <c r="A25" s="2" t="s">
        <v>101</v>
      </c>
      <c r="B25" s="2" t="s">
        <v>102</v>
      </c>
      <c r="C25" s="3"/>
      <c r="D25" s="3"/>
      <c r="E25" s="2"/>
      <c r="F25" s="2"/>
      <c r="G25" s="4"/>
      <c r="H25" s="4" t="s">
        <v>164</v>
      </c>
      <c r="I25" s="2" t="s">
        <v>157</v>
      </c>
      <c r="J25" s="2"/>
      <c r="K25" s="3"/>
      <c r="L25" s="2"/>
      <c r="M25" s="3"/>
      <c r="N25" s="2"/>
      <c r="O25" s="2"/>
      <c r="P25" s="2"/>
      <c r="Q25" s="2"/>
      <c r="R25" s="2"/>
      <c r="S25" s="2"/>
      <c r="T25" s="2"/>
      <c r="U25" s="2"/>
      <c r="V25" s="2"/>
      <c r="W25" s="2"/>
      <c r="X25" s="4"/>
      <c r="Y25" s="3"/>
      <c r="Z25" s="4"/>
      <c r="AA25" s="3"/>
      <c r="AB25" s="2"/>
      <c r="AC25" s="2"/>
      <c r="AD25" s="2"/>
      <c r="AE25" s="2"/>
      <c r="AF25" s="2"/>
      <c r="AG25" s="2"/>
      <c r="AH25" s="2"/>
    </row>
    <row r="26" spans="1:34" x14ac:dyDescent="0.25">
      <c r="A26" s="2" t="s">
        <v>158</v>
      </c>
      <c r="B26" s="2" t="s">
        <v>159</v>
      </c>
      <c r="C26" s="3"/>
      <c r="D26" s="3"/>
      <c r="E26" s="2"/>
      <c r="F26" s="2"/>
      <c r="G26" s="4"/>
      <c r="H26" s="27" t="s">
        <v>140</v>
      </c>
      <c r="I26" s="2" t="s">
        <v>78</v>
      </c>
      <c r="J26" s="2"/>
      <c r="K26" s="47">
        <v>0</v>
      </c>
      <c r="L26" s="47">
        <v>0</v>
      </c>
      <c r="M26" s="47">
        <v>0</v>
      </c>
      <c r="N26" s="47">
        <v>0</v>
      </c>
      <c r="O26" s="47">
        <v>0</v>
      </c>
      <c r="P26" s="47">
        <v>0</v>
      </c>
      <c r="Q26" s="47">
        <v>0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  <c r="W26" s="3">
        <v>43311</v>
      </c>
      <c r="X26" s="4">
        <f>314.7+71.23</f>
        <v>385.93</v>
      </c>
      <c r="Y26" s="3">
        <v>43332</v>
      </c>
      <c r="Z26" s="4">
        <f>194.25+857.95</f>
        <v>1052.2</v>
      </c>
      <c r="AA26" s="3">
        <v>43367</v>
      </c>
      <c r="AB26" s="4">
        <f>857.95+194.25</f>
        <v>1052.2</v>
      </c>
      <c r="AC26" s="3">
        <v>43389</v>
      </c>
      <c r="AD26" s="4">
        <f>857.95+194.25</f>
        <v>1052.2</v>
      </c>
      <c r="AE26" s="3">
        <v>43411</v>
      </c>
      <c r="AF26" s="4">
        <f>194.25+836.7</f>
        <v>1030.95</v>
      </c>
      <c r="AG26" s="3">
        <v>43440</v>
      </c>
      <c r="AH26" s="2">
        <f>194.25+836.7</f>
        <v>1030.95</v>
      </c>
    </row>
    <row r="27" spans="1:34" x14ac:dyDescent="0.25">
      <c r="A27" s="2" t="s">
        <v>37</v>
      </c>
      <c r="B27" s="2" t="s">
        <v>172</v>
      </c>
      <c r="C27" s="3"/>
      <c r="D27" s="3"/>
      <c r="E27" s="2"/>
      <c r="F27" s="2"/>
      <c r="G27" s="4"/>
      <c r="H27" s="4" t="s">
        <v>164</v>
      </c>
      <c r="I27" s="2" t="s">
        <v>78</v>
      </c>
      <c r="J27" s="2"/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0</v>
      </c>
      <c r="Y27" s="47">
        <v>0</v>
      </c>
      <c r="Z27" s="47">
        <v>0</v>
      </c>
      <c r="AA27" s="3"/>
      <c r="AB27" s="4"/>
      <c r="AC27" s="3"/>
      <c r="AD27" s="4"/>
      <c r="AE27" s="3"/>
      <c r="AF27" s="4"/>
      <c r="AG27" s="3"/>
      <c r="AH27" s="4"/>
    </row>
    <row r="28" spans="1:34" x14ac:dyDescent="0.25">
      <c r="A28" s="2" t="s">
        <v>38</v>
      </c>
      <c r="B28" s="2" t="s">
        <v>173</v>
      </c>
      <c r="C28" s="3"/>
      <c r="D28" s="3"/>
      <c r="E28" s="2"/>
      <c r="F28" s="2"/>
      <c r="G28" s="4"/>
      <c r="H28" s="4" t="s">
        <v>164</v>
      </c>
      <c r="I28" s="2" t="s">
        <v>78</v>
      </c>
      <c r="J28" s="2"/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0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3"/>
      <c r="AB28" s="4"/>
      <c r="AC28" s="3"/>
      <c r="AD28" s="4"/>
      <c r="AE28" s="3"/>
      <c r="AF28" s="4"/>
      <c r="AG28" s="3"/>
      <c r="AH28" s="4"/>
    </row>
    <row r="29" spans="1:34" x14ac:dyDescent="0.25">
      <c r="A29" s="2" t="s">
        <v>39</v>
      </c>
      <c r="B29" s="2" t="s">
        <v>174</v>
      </c>
      <c r="C29" s="3"/>
      <c r="D29" s="3"/>
      <c r="E29" s="2"/>
      <c r="F29" s="2"/>
      <c r="G29" s="4"/>
      <c r="H29" s="4" t="s">
        <v>164</v>
      </c>
      <c r="I29" s="2" t="s">
        <v>78</v>
      </c>
      <c r="J29" s="2"/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0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3"/>
      <c r="AB29" s="4"/>
      <c r="AC29" s="3"/>
      <c r="AD29" s="4"/>
      <c r="AE29" s="3"/>
      <c r="AF29" s="4"/>
      <c r="AG29" s="3"/>
      <c r="AH29" s="4"/>
    </row>
    <row r="30" spans="1:34" x14ac:dyDescent="0.25">
      <c r="A30" s="2" t="s">
        <v>160</v>
      </c>
      <c r="B30" s="2" t="s">
        <v>161</v>
      </c>
      <c r="C30" s="3"/>
      <c r="D30" s="3"/>
      <c r="E30" s="2"/>
      <c r="F30" s="2"/>
      <c r="G30" s="4"/>
      <c r="H30" s="4" t="s">
        <v>164</v>
      </c>
      <c r="I30" s="2" t="s">
        <v>78</v>
      </c>
      <c r="J30" s="2"/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0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3"/>
      <c r="AB30" s="4"/>
      <c r="AC30" s="3"/>
      <c r="AD30" s="4"/>
      <c r="AE30" s="3"/>
      <c r="AF30" s="4"/>
      <c r="AG30" s="3"/>
      <c r="AH30" s="4"/>
    </row>
    <row r="31" spans="1:34" x14ac:dyDescent="0.25">
      <c r="A31" s="2" t="s">
        <v>163</v>
      </c>
      <c r="B31" s="2" t="s">
        <v>162</v>
      </c>
      <c r="C31" s="3"/>
      <c r="D31" s="3"/>
      <c r="E31" s="2"/>
      <c r="F31" s="2"/>
      <c r="G31" s="4"/>
      <c r="H31" s="4" t="s">
        <v>164</v>
      </c>
      <c r="I31" s="2" t="s">
        <v>78</v>
      </c>
      <c r="J31" s="2"/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0</v>
      </c>
      <c r="AA31" s="3"/>
      <c r="AB31" s="4"/>
      <c r="AC31" s="3"/>
      <c r="AD31" s="4"/>
      <c r="AE31" s="3"/>
      <c r="AF31" s="4"/>
      <c r="AG31" s="3"/>
      <c r="AH31" s="4"/>
    </row>
    <row r="32" spans="1:34" x14ac:dyDescent="0.25">
      <c r="A32" s="2" t="s">
        <v>167</v>
      </c>
      <c r="B32" s="2" t="s">
        <v>171</v>
      </c>
      <c r="C32" s="3"/>
      <c r="D32" s="3"/>
      <c r="E32" s="2"/>
      <c r="F32" s="2"/>
      <c r="G32" s="4"/>
      <c r="H32" s="4" t="s">
        <v>164</v>
      </c>
      <c r="I32" s="2" t="s">
        <v>78</v>
      </c>
      <c r="J32" s="2"/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0</v>
      </c>
      <c r="V32" s="47">
        <v>0</v>
      </c>
      <c r="W32" s="47">
        <v>0</v>
      </c>
      <c r="X32" s="47">
        <v>0</v>
      </c>
      <c r="Y32" s="47">
        <v>0</v>
      </c>
      <c r="Z32" s="47">
        <v>0</v>
      </c>
      <c r="AA32" s="3"/>
      <c r="AB32" s="4"/>
      <c r="AC32" s="3"/>
      <c r="AD32" s="4"/>
      <c r="AE32" s="3"/>
      <c r="AF32" s="4"/>
      <c r="AG32" s="3"/>
      <c r="AH32" s="4"/>
    </row>
    <row r="33" spans="1:34" x14ac:dyDescent="0.25">
      <c r="A33" s="2" t="s">
        <v>168</v>
      </c>
      <c r="B33" s="2" t="s">
        <v>169</v>
      </c>
      <c r="C33" s="3"/>
      <c r="D33" s="3"/>
      <c r="E33" s="2"/>
      <c r="F33" s="2"/>
      <c r="G33" s="4"/>
      <c r="H33" s="4" t="s">
        <v>170</v>
      </c>
      <c r="I33" s="2" t="s">
        <v>78</v>
      </c>
      <c r="J33" s="2"/>
      <c r="K33" s="47">
        <v>0</v>
      </c>
      <c r="L33" s="47">
        <v>0</v>
      </c>
      <c r="M33" s="47">
        <v>0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0</v>
      </c>
      <c r="V33" s="47">
        <v>0</v>
      </c>
      <c r="W33" s="47">
        <v>0</v>
      </c>
      <c r="X33" s="47">
        <v>0</v>
      </c>
      <c r="Y33" s="47">
        <v>0</v>
      </c>
      <c r="Z33" s="47">
        <v>0</v>
      </c>
      <c r="AA33" s="3"/>
      <c r="AB33" s="4"/>
      <c r="AC33" s="3"/>
      <c r="AD33" s="4"/>
      <c r="AE33" s="3"/>
      <c r="AF33" s="4"/>
      <c r="AG33" s="3"/>
      <c r="AH33" s="4"/>
    </row>
    <row r="34" spans="1:34" x14ac:dyDescent="0.25">
      <c r="A34" s="49" t="s">
        <v>61</v>
      </c>
      <c r="B34" s="2"/>
      <c r="C34" s="2"/>
      <c r="D34" s="2"/>
      <c r="E34" s="2"/>
      <c r="F34" s="2"/>
      <c r="G34" s="2"/>
      <c r="H34" s="2"/>
      <c r="I34" s="2" t="s">
        <v>78</v>
      </c>
      <c r="J34" s="2"/>
      <c r="K34" s="3"/>
      <c r="L34" s="4"/>
      <c r="M34" s="3"/>
      <c r="N34" s="4"/>
      <c r="O34" s="3"/>
      <c r="P34" s="4"/>
      <c r="Q34" s="3"/>
      <c r="R34" s="4"/>
      <c r="S34" s="3"/>
      <c r="T34" s="4"/>
      <c r="U34" s="3"/>
      <c r="V34" s="4"/>
      <c r="W34" s="3"/>
      <c r="X34" s="4"/>
      <c r="Y34" s="3"/>
      <c r="Z34" s="4"/>
      <c r="AA34" s="3"/>
      <c r="AB34" s="4"/>
      <c r="AC34" s="3"/>
      <c r="AD34" s="4"/>
      <c r="AE34" s="3"/>
      <c r="AF34" s="4"/>
      <c r="AG34" s="3"/>
      <c r="AH34" s="4"/>
    </row>
    <row r="35" spans="1:34" ht="45" hidden="1" x14ac:dyDescent="0.25">
      <c r="A35" s="2" t="s">
        <v>58</v>
      </c>
      <c r="B35" s="2" t="s">
        <v>67</v>
      </c>
      <c r="C35" s="3">
        <v>41359</v>
      </c>
      <c r="D35" s="3"/>
      <c r="E35" s="2"/>
      <c r="F35" s="2"/>
      <c r="G35" s="4">
        <v>21000</v>
      </c>
      <c r="H35" s="4"/>
      <c r="I35" s="2" t="s">
        <v>146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4"/>
      <c r="Y35" s="3"/>
      <c r="Z35" s="4"/>
      <c r="AA35" s="3"/>
      <c r="AB35" s="2"/>
      <c r="AC35" s="2"/>
      <c r="AD35" s="2"/>
      <c r="AE35" s="2"/>
      <c r="AF35" s="2"/>
      <c r="AG35" s="2"/>
      <c r="AH35" s="2"/>
    </row>
    <row r="36" spans="1:34" x14ac:dyDescent="0.25">
      <c r="A36" s="2" t="s">
        <v>64</v>
      </c>
      <c r="B36" s="2" t="s">
        <v>68</v>
      </c>
      <c r="C36" s="3"/>
      <c r="D36" s="3"/>
      <c r="E36" s="2"/>
      <c r="F36" s="2"/>
      <c r="G36" s="4"/>
      <c r="H36" s="4"/>
      <c r="I36" s="2" t="s">
        <v>78</v>
      </c>
      <c r="J36" s="2"/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 s="3"/>
      <c r="AB36" s="4"/>
      <c r="AC36" s="3"/>
      <c r="AD36" s="4"/>
      <c r="AE36" s="3"/>
      <c r="AF36" s="4"/>
      <c r="AG36" s="3"/>
      <c r="AH36" s="4"/>
    </row>
    <row r="37" spans="1:34" x14ac:dyDescent="0.25">
      <c r="A37" s="2" t="s">
        <v>62</v>
      </c>
      <c r="B37" s="2" t="s">
        <v>65</v>
      </c>
      <c r="C37" s="3"/>
      <c r="D37" s="3"/>
      <c r="E37" s="2"/>
      <c r="F37" s="2"/>
      <c r="G37" s="4"/>
      <c r="H37" s="4"/>
      <c r="I37" s="2" t="s">
        <v>78</v>
      </c>
      <c r="J37" s="2"/>
      <c r="K37" s="47">
        <v>0</v>
      </c>
      <c r="L37" s="47">
        <v>0</v>
      </c>
      <c r="M37" s="3">
        <v>43154</v>
      </c>
      <c r="N37" s="4">
        <v>35000</v>
      </c>
      <c r="O37" s="3">
        <v>43164</v>
      </c>
      <c r="P37" s="4">
        <v>35000</v>
      </c>
      <c r="Q37" s="47">
        <v>0</v>
      </c>
      <c r="R37" s="47">
        <v>0</v>
      </c>
      <c r="S37" s="47">
        <v>0</v>
      </c>
      <c r="T37" s="47">
        <v>0</v>
      </c>
      <c r="U37" s="47">
        <v>0</v>
      </c>
      <c r="V37" s="47">
        <v>0</v>
      </c>
      <c r="W37" s="47">
        <v>0</v>
      </c>
      <c r="X37" s="47">
        <v>0</v>
      </c>
      <c r="Y37" s="47">
        <v>0</v>
      </c>
      <c r="Z37" s="47">
        <v>0</v>
      </c>
      <c r="AA37" s="3"/>
      <c r="AB37" s="4"/>
      <c r="AC37" s="3"/>
      <c r="AD37" s="4"/>
      <c r="AE37" s="3"/>
      <c r="AF37" s="4"/>
      <c r="AG37" s="3"/>
      <c r="AH37" s="4"/>
    </row>
    <row r="38" spans="1:34" x14ac:dyDescent="0.25">
      <c r="A38" s="2" t="s">
        <v>63</v>
      </c>
      <c r="B38" s="2" t="s">
        <v>66</v>
      </c>
      <c r="C38" s="3"/>
      <c r="D38" s="3"/>
      <c r="E38" s="2"/>
      <c r="F38" s="2"/>
      <c r="G38" s="4"/>
      <c r="H38" s="4"/>
      <c r="I38" s="2" t="s">
        <v>78</v>
      </c>
      <c r="J38" s="2"/>
      <c r="K38" s="47">
        <v>0</v>
      </c>
      <c r="L38" s="47">
        <v>0</v>
      </c>
      <c r="M38" s="47">
        <v>0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v>0</v>
      </c>
      <c r="X38" s="47">
        <v>0</v>
      </c>
      <c r="Y38" s="47">
        <v>0</v>
      </c>
      <c r="Z38" s="47">
        <v>0</v>
      </c>
      <c r="AA38" s="3"/>
      <c r="AB38" s="4"/>
      <c r="AC38" s="3"/>
      <c r="AD38" s="4"/>
      <c r="AE38" s="3"/>
      <c r="AF38" s="4"/>
      <c r="AG38" s="3"/>
      <c r="AH38" s="4"/>
    </row>
    <row r="39" spans="1:34" x14ac:dyDescent="0.25">
      <c r="A39" s="35" t="s">
        <v>152</v>
      </c>
      <c r="B39" s="36"/>
      <c r="C39" s="37"/>
      <c r="D39" s="37"/>
      <c r="E39" s="36"/>
      <c r="F39" s="36"/>
      <c r="G39" s="51"/>
      <c r="H39" s="51"/>
      <c r="I39" s="36"/>
      <c r="J39" s="36"/>
      <c r="K39" s="37"/>
      <c r="L39" s="51">
        <f>SUBTOTAL(109,Tabela145[Valor3])</f>
        <v>8007.98</v>
      </c>
      <c r="M39" s="37"/>
      <c r="N39" s="51">
        <f>SUBTOTAL(109,Tabela145[Valor4])</f>
        <v>46505.26</v>
      </c>
      <c r="O39" s="37"/>
      <c r="P39" s="51">
        <f>SUBTOTAL(109,Tabela145[Valor5])</f>
        <v>48623.520000000004</v>
      </c>
      <c r="Q39" s="37"/>
      <c r="R39" s="51">
        <f>SUBTOTAL(109,Tabela145[Valor6])</f>
        <v>15115.220000000001</v>
      </c>
      <c r="S39" s="37"/>
      <c r="T39" s="51">
        <f>SUBTOTAL(109,Tabela145[Valor7])</f>
        <v>16126.08</v>
      </c>
      <c r="U39" s="37"/>
      <c r="V39" s="51">
        <f>SUBTOTAL(109,Tabela145[Valor8])</f>
        <v>15349.01</v>
      </c>
      <c r="W39" s="37"/>
      <c r="X39" s="51">
        <f>SUBTOTAL(109,Tabela145[Valor9])</f>
        <v>16076.970000000001</v>
      </c>
      <c r="Y39" s="3"/>
      <c r="Z39" s="51">
        <f>SUBTOTAL(109,Tabela145[Valor10])</f>
        <v>15652.890000000001</v>
      </c>
      <c r="AA39" s="37"/>
      <c r="AB39" s="51">
        <f>SUBTOTAL(109,Tabela145[Valor11])</f>
        <v>17411.190000000002</v>
      </c>
      <c r="AC39" s="37"/>
      <c r="AD39" s="51">
        <f>SUBTOTAL(109,Tabela145[Valor12])</f>
        <v>16080.61</v>
      </c>
      <c r="AE39" s="37"/>
      <c r="AF39" s="51">
        <f>SUBTOTAL(109,Tabela145[Valor14])</f>
        <v>16639.36</v>
      </c>
      <c r="AG39" s="37"/>
      <c r="AH39" s="52">
        <f>SUBTOTAL(109,Tabela145[Valor2])</f>
        <v>15298.11</v>
      </c>
    </row>
  </sheetData>
  <mergeCells count="15">
    <mergeCell ref="AG2:AH2"/>
    <mergeCell ref="A1:J1"/>
    <mergeCell ref="K1:AH1"/>
    <mergeCell ref="A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8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>
    <pageSetUpPr fitToPage="1"/>
  </sheetPr>
  <dimension ref="A1:AO90"/>
  <sheetViews>
    <sheetView zoomScale="85" zoomScaleNormal="85" workbookViewId="0">
      <pane xSplit="12" ySplit="4" topLeftCell="P5" activePane="bottomRight" state="frozen"/>
      <selection pane="topRight" activeCell="M1" sqref="M1"/>
      <selection pane="bottomLeft" activeCell="A5" sqref="A5"/>
      <selection pane="bottomRight" activeCell="V33" sqref="V33"/>
    </sheetView>
  </sheetViews>
  <sheetFormatPr defaultColWidth="9.140625" defaultRowHeight="15" x14ac:dyDescent="0.25"/>
  <cols>
    <col min="1" max="1" width="26.5703125" style="1" customWidth="1"/>
    <col min="2" max="2" width="51.28515625" style="1" hidden="1" customWidth="1"/>
    <col min="3" max="3" width="15.140625" style="24" hidden="1" customWidth="1"/>
    <col min="4" max="4" width="11.85546875" style="24" hidden="1" customWidth="1"/>
    <col min="5" max="5" width="15.140625" style="24" hidden="1" customWidth="1"/>
    <col min="6" max="6" width="19.140625" style="1" customWidth="1"/>
    <col min="7" max="7" width="16.5703125" style="1" customWidth="1"/>
    <col min="8" max="8" width="16.140625" style="8" hidden="1" customWidth="1"/>
    <col min="9" max="9" width="47.5703125" style="8" hidden="1" customWidth="1"/>
    <col min="10" max="10" width="23" style="8" hidden="1" customWidth="1"/>
    <col min="11" max="11" width="17" style="1" hidden="1" customWidth="1"/>
    <col min="12" max="12" width="38.85546875" style="1" hidden="1" customWidth="1"/>
    <col min="13" max="13" width="11.5703125" style="24" customWidth="1"/>
    <col min="14" max="14" width="12.85546875" style="8" customWidth="1"/>
    <col min="15" max="15" width="11.5703125" style="24" customWidth="1"/>
    <col min="16" max="16" width="12.85546875" style="8" customWidth="1"/>
    <col min="17" max="17" width="11.5703125" style="24" customWidth="1"/>
    <col min="18" max="18" width="12.85546875" style="8" customWidth="1"/>
    <col min="19" max="19" width="11.5703125" style="24" customWidth="1"/>
    <col min="20" max="20" width="12.85546875" style="8" customWidth="1"/>
    <col min="21" max="21" width="11.5703125" style="24" customWidth="1"/>
    <col min="22" max="22" width="12.85546875" style="8" customWidth="1"/>
    <col min="23" max="23" width="11.5703125" style="24" customWidth="1"/>
    <col min="24" max="24" width="14.42578125" style="8" customWidth="1"/>
    <col min="25" max="25" width="11.5703125" style="24" customWidth="1"/>
    <col min="26" max="26" width="14.140625" style="8" customWidth="1"/>
    <col min="27" max="27" width="11.5703125" style="24" bestFit="1" customWidth="1"/>
    <col min="28" max="28" width="14.140625" style="8" bestFit="1" customWidth="1"/>
    <col min="29" max="29" width="12.5703125" style="24" bestFit="1" customWidth="1"/>
    <col min="30" max="30" width="13.42578125" style="8" bestFit="1" customWidth="1"/>
    <col min="31" max="31" width="12.5703125" style="24" bestFit="1" customWidth="1"/>
    <col min="32" max="32" width="13.42578125" style="8" bestFit="1" customWidth="1"/>
    <col min="33" max="33" width="12.5703125" style="24" bestFit="1" customWidth="1"/>
    <col min="34" max="34" width="14.140625" style="8" bestFit="1" customWidth="1"/>
    <col min="35" max="35" width="12.5703125" style="24" bestFit="1" customWidth="1"/>
    <col min="36" max="36" width="14.7109375" style="8" customWidth="1"/>
    <col min="37" max="37" width="9.140625" style="1"/>
    <col min="38" max="38" width="10.28515625" style="1" bestFit="1" customWidth="1"/>
    <col min="39" max="39" width="10.85546875" style="1" bestFit="1" customWidth="1"/>
    <col min="40" max="40" width="9.140625" style="1"/>
    <col min="41" max="41" width="11.85546875" style="1" bestFit="1" customWidth="1"/>
    <col min="42" max="16384" width="9.140625" style="1"/>
  </cols>
  <sheetData>
    <row r="1" spans="1:39" x14ac:dyDescent="0.25">
      <c r="A1" s="175" t="s">
        <v>69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7"/>
      <c r="N1" s="178"/>
      <c r="O1" s="177"/>
      <c r="P1" s="178"/>
      <c r="Q1" s="177"/>
      <c r="R1" s="178"/>
      <c r="S1" s="177"/>
      <c r="T1" s="178"/>
      <c r="U1" s="177"/>
      <c r="V1" s="178"/>
      <c r="W1" s="177"/>
      <c r="X1" s="178"/>
      <c r="Y1" s="177"/>
      <c r="Z1" s="178"/>
      <c r="AA1" s="177"/>
      <c r="AB1" s="178"/>
      <c r="AC1" s="177"/>
      <c r="AD1" s="178"/>
      <c r="AE1" s="177"/>
      <c r="AF1" s="178"/>
      <c r="AG1" s="177"/>
      <c r="AH1" s="178"/>
      <c r="AI1" s="177"/>
      <c r="AJ1" s="178"/>
    </row>
    <row r="2" spans="1:39" x14ac:dyDescent="0.25">
      <c r="A2" s="179" t="s">
        <v>60</v>
      </c>
      <c r="B2" s="180"/>
      <c r="C2" s="170"/>
      <c r="D2" s="170"/>
      <c r="E2" s="171"/>
      <c r="F2" s="170"/>
      <c r="G2" s="171"/>
      <c r="H2" s="69"/>
      <c r="I2" s="70"/>
      <c r="J2" s="170"/>
      <c r="K2" s="171"/>
      <c r="L2" s="62"/>
      <c r="M2" s="170">
        <v>43466</v>
      </c>
      <c r="N2" s="171"/>
      <c r="O2" s="170">
        <v>43497</v>
      </c>
      <c r="P2" s="171"/>
      <c r="Q2" s="170">
        <v>43525</v>
      </c>
      <c r="R2" s="171"/>
      <c r="S2" s="170">
        <v>43556</v>
      </c>
      <c r="T2" s="171"/>
      <c r="U2" s="170">
        <v>43586</v>
      </c>
      <c r="V2" s="171"/>
      <c r="W2" s="170">
        <v>43617</v>
      </c>
      <c r="X2" s="171"/>
      <c r="Y2" s="170">
        <v>43647</v>
      </c>
      <c r="Z2" s="171"/>
      <c r="AA2" s="170">
        <v>43678</v>
      </c>
      <c r="AB2" s="171"/>
      <c r="AC2" s="170">
        <v>43709</v>
      </c>
      <c r="AD2" s="171"/>
      <c r="AE2" s="170">
        <v>43739</v>
      </c>
      <c r="AF2" s="171"/>
      <c r="AG2" s="170">
        <v>43770</v>
      </c>
      <c r="AH2" s="171"/>
      <c r="AI2" s="170">
        <v>43800</v>
      </c>
      <c r="AJ2" s="171"/>
    </row>
    <row r="3" spans="1:39" s="13" customFormat="1" ht="30" x14ac:dyDescent="0.25">
      <c r="A3" s="11" t="s">
        <v>0</v>
      </c>
      <c r="B3" s="43" t="s">
        <v>5</v>
      </c>
      <c r="C3" s="45" t="s">
        <v>3</v>
      </c>
      <c r="D3" s="66" t="s">
        <v>209</v>
      </c>
      <c r="E3" s="45" t="s">
        <v>1</v>
      </c>
      <c r="F3" s="43" t="s">
        <v>8</v>
      </c>
      <c r="G3" s="43" t="s">
        <v>2</v>
      </c>
      <c r="H3" s="44" t="s">
        <v>79</v>
      </c>
      <c r="I3" s="44" t="s">
        <v>107</v>
      </c>
      <c r="J3" s="59" t="s">
        <v>186</v>
      </c>
      <c r="K3" s="43" t="s">
        <v>19</v>
      </c>
      <c r="L3" s="43" t="s">
        <v>105</v>
      </c>
      <c r="M3" s="45" t="s">
        <v>115</v>
      </c>
      <c r="N3" s="46" t="s">
        <v>116</v>
      </c>
      <c r="O3" s="45" t="s">
        <v>117</v>
      </c>
      <c r="P3" s="46" t="s">
        <v>118</v>
      </c>
      <c r="Q3" s="45" t="s">
        <v>119</v>
      </c>
      <c r="R3" s="46" t="s">
        <v>120</v>
      </c>
      <c r="S3" s="45" t="s">
        <v>121</v>
      </c>
      <c r="T3" s="46" t="s">
        <v>122</v>
      </c>
      <c r="U3" s="45" t="s">
        <v>123</v>
      </c>
      <c r="V3" s="46" t="s">
        <v>124</v>
      </c>
      <c r="W3" s="45" t="s">
        <v>125</v>
      </c>
      <c r="X3" s="46" t="s">
        <v>126</v>
      </c>
      <c r="Y3" s="45" t="s">
        <v>127</v>
      </c>
      <c r="Z3" s="46" t="s">
        <v>128</v>
      </c>
      <c r="AA3" s="45" t="s">
        <v>129</v>
      </c>
      <c r="AB3" s="46" t="s">
        <v>130</v>
      </c>
      <c r="AC3" s="45" t="s">
        <v>131</v>
      </c>
      <c r="AD3" s="46" t="s">
        <v>132</v>
      </c>
      <c r="AE3" s="45" t="s">
        <v>133</v>
      </c>
      <c r="AF3" s="46" t="s">
        <v>134</v>
      </c>
      <c r="AG3" s="45" t="s">
        <v>135</v>
      </c>
      <c r="AH3" s="46" t="s">
        <v>137</v>
      </c>
      <c r="AI3" s="45" t="s">
        <v>136</v>
      </c>
      <c r="AJ3" s="46" t="s">
        <v>138</v>
      </c>
    </row>
    <row r="4" spans="1:39" ht="30" hidden="1" x14ac:dyDescent="0.25">
      <c r="A4" s="2" t="s">
        <v>18</v>
      </c>
      <c r="B4" s="2" t="s">
        <v>4</v>
      </c>
      <c r="C4" s="3">
        <v>41609</v>
      </c>
      <c r="D4" s="3"/>
      <c r="E4" s="3" t="s">
        <v>6</v>
      </c>
      <c r="F4" s="2" t="s">
        <v>12</v>
      </c>
      <c r="G4" s="2" t="s">
        <v>7</v>
      </c>
      <c r="H4" s="4">
        <v>1952.22</v>
      </c>
      <c r="I4" s="4"/>
      <c r="J4" s="4"/>
      <c r="K4" s="2" t="s">
        <v>20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4"/>
      <c r="AA4" s="2"/>
      <c r="AB4" s="4"/>
      <c r="AC4" s="2"/>
      <c r="AD4" s="2"/>
      <c r="AE4" s="2"/>
      <c r="AF4" s="2"/>
      <c r="AG4" s="2"/>
      <c r="AH4" s="2"/>
      <c r="AI4" s="2"/>
      <c r="AJ4" s="2"/>
    </row>
    <row r="5" spans="1:39" x14ac:dyDescent="0.25">
      <c r="A5" s="25" t="s">
        <v>9</v>
      </c>
      <c r="B5" s="25" t="s">
        <v>10</v>
      </c>
      <c r="C5" s="26">
        <v>41644</v>
      </c>
      <c r="D5" s="26">
        <v>42008</v>
      </c>
      <c r="E5" s="26" t="s">
        <v>6</v>
      </c>
      <c r="F5" s="25" t="s">
        <v>89</v>
      </c>
      <c r="G5" s="25" t="s">
        <v>7</v>
      </c>
      <c r="H5" s="27" t="s">
        <v>139</v>
      </c>
      <c r="I5" s="27" t="s">
        <v>145</v>
      </c>
      <c r="J5" s="27" t="s">
        <v>185</v>
      </c>
      <c r="K5" s="25" t="s">
        <v>78</v>
      </c>
      <c r="L5" s="25" t="s">
        <v>184</v>
      </c>
      <c r="M5" s="3">
        <v>43467</v>
      </c>
      <c r="N5" s="4">
        <v>4206.1499999999996</v>
      </c>
      <c r="O5" s="3">
        <v>43502</v>
      </c>
      <c r="P5" s="60">
        <v>4660.03</v>
      </c>
      <c r="Q5" s="3">
        <v>43525</v>
      </c>
      <c r="R5" s="4">
        <v>5339.22</v>
      </c>
      <c r="S5" s="3">
        <v>43556</v>
      </c>
      <c r="T5" s="4">
        <v>5471.15</v>
      </c>
      <c r="U5" s="3">
        <v>43588</v>
      </c>
      <c r="V5" s="4">
        <v>4632.82</v>
      </c>
      <c r="W5" s="3">
        <v>43619</v>
      </c>
      <c r="X5" s="4">
        <v>5800.39</v>
      </c>
      <c r="Y5" s="3">
        <v>43649</v>
      </c>
      <c r="Z5" s="4">
        <v>5719.07</v>
      </c>
      <c r="AA5" s="3">
        <v>43678</v>
      </c>
      <c r="AB5" s="4">
        <v>5733.3</v>
      </c>
      <c r="AC5" s="3">
        <v>43714</v>
      </c>
      <c r="AD5" s="4">
        <v>5464.7</v>
      </c>
      <c r="AE5" s="3">
        <v>43742</v>
      </c>
      <c r="AF5" s="4">
        <v>3965.77</v>
      </c>
      <c r="AG5" s="3">
        <v>43774</v>
      </c>
      <c r="AH5" s="4">
        <v>5095.1499999999996</v>
      </c>
      <c r="AI5" s="3">
        <v>43774</v>
      </c>
      <c r="AJ5" s="4">
        <v>3775.27</v>
      </c>
    </row>
    <row r="6" spans="1:39" hidden="1" x14ac:dyDescent="0.25">
      <c r="A6" s="2" t="s">
        <v>17</v>
      </c>
      <c r="B6" s="2" t="s">
        <v>11</v>
      </c>
      <c r="C6" s="3">
        <v>41800</v>
      </c>
      <c r="D6" s="3">
        <v>43231</v>
      </c>
      <c r="E6" s="3" t="s">
        <v>13</v>
      </c>
      <c r="F6" s="25" t="s">
        <v>89</v>
      </c>
      <c r="G6" s="2" t="s">
        <v>15</v>
      </c>
      <c r="H6" s="4">
        <v>1240</v>
      </c>
      <c r="I6" s="27" t="s">
        <v>140</v>
      </c>
      <c r="J6" s="27" t="s">
        <v>187</v>
      </c>
      <c r="K6" s="2" t="s">
        <v>155</v>
      </c>
      <c r="L6" s="2"/>
      <c r="M6" s="3" t="s">
        <v>181</v>
      </c>
      <c r="N6" s="2" t="s">
        <v>181</v>
      </c>
      <c r="O6" s="3" t="s">
        <v>181</v>
      </c>
      <c r="P6" s="2" t="s">
        <v>181</v>
      </c>
      <c r="Q6" s="2" t="s">
        <v>181</v>
      </c>
      <c r="R6" s="2" t="s">
        <v>181</v>
      </c>
      <c r="S6" s="2"/>
      <c r="T6" s="2"/>
      <c r="U6" s="2"/>
      <c r="V6" s="2"/>
      <c r="W6" s="2"/>
      <c r="X6" s="2"/>
      <c r="Y6" s="3">
        <v>43286</v>
      </c>
      <c r="Z6" s="4">
        <v>940</v>
      </c>
      <c r="AA6" s="3">
        <v>43314</v>
      </c>
      <c r="AB6" s="4">
        <v>1240</v>
      </c>
      <c r="AC6" s="2"/>
      <c r="AD6" s="2"/>
      <c r="AE6" s="2"/>
      <c r="AF6" s="2"/>
      <c r="AG6" s="2"/>
      <c r="AH6" s="2"/>
      <c r="AI6" s="2"/>
      <c r="AJ6" s="2"/>
    </row>
    <row r="7" spans="1:39" ht="30" hidden="1" x14ac:dyDescent="0.25">
      <c r="A7" s="2" t="s">
        <v>16</v>
      </c>
      <c r="B7" s="2" t="s">
        <v>21</v>
      </c>
      <c r="C7" s="3">
        <v>38936</v>
      </c>
      <c r="D7" s="3"/>
      <c r="E7" s="3" t="s">
        <v>13</v>
      </c>
      <c r="F7" s="2" t="s">
        <v>12</v>
      </c>
      <c r="G7" s="2" t="s">
        <v>7</v>
      </c>
      <c r="H7" s="4">
        <v>228</v>
      </c>
      <c r="I7" s="4"/>
      <c r="J7" s="4"/>
      <c r="K7" s="2" t="s">
        <v>100</v>
      </c>
      <c r="L7" s="2"/>
      <c r="M7" s="3"/>
      <c r="N7" s="2"/>
      <c r="O7" s="3"/>
      <c r="P7" s="2"/>
      <c r="Q7" s="2"/>
      <c r="R7" s="2"/>
      <c r="S7" s="2"/>
      <c r="T7" s="2"/>
      <c r="U7" s="2"/>
      <c r="V7" s="2"/>
      <c r="W7" s="2"/>
      <c r="X7" s="2"/>
      <c r="Y7" s="2"/>
      <c r="Z7" s="4"/>
      <c r="AA7" s="3"/>
      <c r="AB7" s="4"/>
      <c r="AC7" s="2"/>
      <c r="AD7" s="2"/>
      <c r="AE7" s="2"/>
      <c r="AF7" s="2"/>
      <c r="AG7" s="2"/>
      <c r="AH7" s="2"/>
      <c r="AI7" s="2"/>
      <c r="AJ7" s="2"/>
    </row>
    <row r="8" spans="1:39" hidden="1" x14ac:dyDescent="0.25">
      <c r="A8" s="2" t="s">
        <v>22</v>
      </c>
      <c r="B8" s="2" t="s">
        <v>23</v>
      </c>
      <c r="C8" s="3">
        <v>2013</v>
      </c>
      <c r="D8" s="3"/>
      <c r="E8" s="3" t="s">
        <v>6</v>
      </c>
      <c r="F8" s="2" t="s">
        <v>6</v>
      </c>
      <c r="G8" s="2" t="s">
        <v>7</v>
      </c>
      <c r="H8" s="4">
        <v>200</v>
      </c>
      <c r="I8" s="4"/>
      <c r="J8" s="4"/>
      <c r="K8" s="2" t="s">
        <v>20</v>
      </c>
      <c r="L8" s="2"/>
      <c r="M8" s="3"/>
      <c r="N8" s="2"/>
      <c r="O8" s="3"/>
      <c r="P8" s="2"/>
      <c r="Q8" s="2"/>
      <c r="R8" s="2"/>
      <c r="S8" s="2"/>
      <c r="T8" s="2"/>
      <c r="U8" s="2"/>
      <c r="V8" s="2"/>
      <c r="W8" s="2"/>
      <c r="X8" s="2"/>
      <c r="Y8" s="2"/>
      <c r="Z8" s="4"/>
      <c r="AA8" s="3"/>
      <c r="AB8" s="4"/>
      <c r="AC8" s="2"/>
      <c r="AD8" s="2"/>
      <c r="AE8" s="2"/>
      <c r="AF8" s="2"/>
      <c r="AG8" s="2"/>
      <c r="AH8" s="2"/>
      <c r="AI8" s="2"/>
      <c r="AJ8" s="2"/>
    </row>
    <row r="9" spans="1:39" x14ac:dyDescent="0.25">
      <c r="A9" s="25" t="s">
        <v>24</v>
      </c>
      <c r="B9" s="25" t="s">
        <v>25</v>
      </c>
      <c r="C9" s="26">
        <v>43102</v>
      </c>
      <c r="D9" s="26" t="s">
        <v>181</v>
      </c>
      <c r="E9" s="3" t="s">
        <v>13</v>
      </c>
      <c r="F9" s="25" t="s">
        <v>89</v>
      </c>
      <c r="G9" s="25" t="s">
        <v>7</v>
      </c>
      <c r="H9" s="27">
        <v>580</v>
      </c>
      <c r="I9" s="27" t="s">
        <v>141</v>
      </c>
      <c r="J9" s="27" t="s">
        <v>188</v>
      </c>
      <c r="K9" s="25" t="s">
        <v>78</v>
      </c>
      <c r="L9" s="25"/>
      <c r="M9" s="53">
        <v>43476</v>
      </c>
      <c r="N9" s="40">
        <v>580</v>
      </c>
      <c r="O9" s="3">
        <v>43501</v>
      </c>
      <c r="P9" s="61">
        <v>580</v>
      </c>
      <c r="Q9" s="3">
        <v>43536</v>
      </c>
      <c r="R9" s="40">
        <v>580</v>
      </c>
      <c r="S9" s="3">
        <v>43558</v>
      </c>
      <c r="T9" s="40">
        <v>580</v>
      </c>
      <c r="U9" s="3">
        <v>43591</v>
      </c>
      <c r="V9" s="40">
        <v>580</v>
      </c>
      <c r="W9" s="3">
        <v>43626</v>
      </c>
      <c r="X9" s="40">
        <v>580</v>
      </c>
      <c r="Y9" s="3">
        <v>43657</v>
      </c>
      <c r="Z9" s="40">
        <v>580</v>
      </c>
      <c r="AA9" s="3">
        <v>43689</v>
      </c>
      <c r="AB9" s="40">
        <v>580</v>
      </c>
      <c r="AC9" s="3">
        <v>43726</v>
      </c>
      <c r="AD9" s="40">
        <v>580</v>
      </c>
      <c r="AE9" s="3">
        <v>43753</v>
      </c>
      <c r="AF9" s="40">
        <v>580</v>
      </c>
      <c r="AG9" s="3">
        <v>43776</v>
      </c>
      <c r="AH9" s="40">
        <v>580</v>
      </c>
      <c r="AI9" s="3">
        <v>43800</v>
      </c>
      <c r="AJ9" s="40">
        <v>580</v>
      </c>
    </row>
    <row r="10" spans="1:39" hidden="1" x14ac:dyDescent="0.25">
      <c r="A10" s="25" t="s">
        <v>26</v>
      </c>
      <c r="B10" s="25" t="s">
        <v>27</v>
      </c>
      <c r="C10" s="27">
        <v>42675</v>
      </c>
      <c r="D10" s="27"/>
      <c r="E10" s="27" t="s">
        <v>28</v>
      </c>
      <c r="F10" s="25" t="s">
        <v>6</v>
      </c>
      <c r="G10" s="42" t="s">
        <v>29</v>
      </c>
      <c r="H10" s="42" t="s">
        <v>149</v>
      </c>
      <c r="I10" s="42" t="s">
        <v>149</v>
      </c>
      <c r="J10" s="42"/>
      <c r="K10" s="42" t="s">
        <v>149</v>
      </c>
      <c r="L10" s="42" t="s">
        <v>149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40"/>
      <c r="AA10" s="3"/>
      <c r="AB10" s="40"/>
      <c r="AC10" s="2"/>
      <c r="AD10" s="2"/>
      <c r="AE10" s="2"/>
      <c r="AF10" s="2"/>
      <c r="AG10" s="2"/>
      <c r="AH10" s="2"/>
      <c r="AI10" s="2"/>
      <c r="AJ10" s="2"/>
    </row>
    <row r="11" spans="1:39" x14ac:dyDescent="0.25">
      <c r="A11" s="25" t="s">
        <v>31</v>
      </c>
      <c r="B11" s="25" t="s">
        <v>32</v>
      </c>
      <c r="C11" s="26">
        <v>40568</v>
      </c>
      <c r="D11" s="26">
        <v>43102</v>
      </c>
      <c r="E11" s="26" t="s">
        <v>33</v>
      </c>
      <c r="F11" s="25" t="s">
        <v>89</v>
      </c>
      <c r="G11" s="25" t="s">
        <v>7</v>
      </c>
      <c r="H11" s="27">
        <v>1399.78</v>
      </c>
      <c r="I11" s="27" t="s">
        <v>110</v>
      </c>
      <c r="J11" s="27" t="s">
        <v>189</v>
      </c>
      <c r="K11" s="25" t="s">
        <v>78</v>
      </c>
      <c r="L11" s="25"/>
      <c r="M11" s="3">
        <v>43468</v>
      </c>
      <c r="N11" s="4">
        <v>1399.78</v>
      </c>
      <c r="O11" s="3">
        <v>43498</v>
      </c>
      <c r="P11" s="60">
        <v>1452.21</v>
      </c>
      <c r="Q11" s="3">
        <v>43535</v>
      </c>
      <c r="R11" s="4">
        <v>1452.21</v>
      </c>
      <c r="S11" s="3">
        <v>43556</v>
      </c>
      <c r="T11" s="4">
        <v>1452.21</v>
      </c>
      <c r="U11" s="3">
        <v>43591</v>
      </c>
      <c r="V11" s="4">
        <v>1452.21</v>
      </c>
      <c r="W11" s="3">
        <v>43619</v>
      </c>
      <c r="X11" s="4">
        <v>1452.21</v>
      </c>
      <c r="Y11" s="3">
        <v>43650</v>
      </c>
      <c r="Z11" s="4">
        <v>1452.21</v>
      </c>
      <c r="AA11" s="3">
        <v>43678</v>
      </c>
      <c r="AB11" s="4">
        <v>1452.21</v>
      </c>
      <c r="AC11" s="3">
        <v>43712</v>
      </c>
      <c r="AD11" s="4">
        <v>1452.21</v>
      </c>
      <c r="AE11" s="3">
        <v>43740</v>
      </c>
      <c r="AF11" s="4">
        <v>1452.21</v>
      </c>
      <c r="AG11" s="3">
        <v>43774</v>
      </c>
      <c r="AH11" s="4">
        <v>1452.21</v>
      </c>
      <c r="AI11" s="3">
        <v>43822</v>
      </c>
      <c r="AJ11" s="4">
        <v>1452.21</v>
      </c>
    </row>
    <row r="12" spans="1:39" hidden="1" x14ac:dyDescent="0.25">
      <c r="A12" s="2" t="s">
        <v>35</v>
      </c>
      <c r="B12" s="2" t="s">
        <v>36</v>
      </c>
      <c r="C12" s="3">
        <v>41620</v>
      </c>
      <c r="D12" s="3"/>
      <c r="E12" s="3" t="s">
        <v>6</v>
      </c>
      <c r="F12" s="2" t="s">
        <v>6</v>
      </c>
      <c r="G12" s="2" t="s">
        <v>7</v>
      </c>
      <c r="H12" s="4">
        <v>134.9</v>
      </c>
      <c r="I12" s="4"/>
      <c r="J12" s="4"/>
      <c r="K12" s="2" t="s">
        <v>20</v>
      </c>
      <c r="L12" s="2"/>
      <c r="M12" s="3"/>
      <c r="N12" s="2"/>
      <c r="O12" s="3"/>
      <c r="P12" s="2"/>
      <c r="Q12" s="2"/>
      <c r="R12" s="2"/>
      <c r="S12" s="2"/>
      <c r="T12" s="2"/>
      <c r="U12" s="2"/>
      <c r="V12" s="2"/>
      <c r="W12" s="2"/>
      <c r="X12" s="2"/>
      <c r="Y12" s="2"/>
      <c r="Z12" s="4"/>
      <c r="AA12" s="3"/>
      <c r="AB12" s="4"/>
      <c r="AC12" s="2"/>
      <c r="AD12" s="2"/>
      <c r="AE12" s="2"/>
      <c r="AF12" s="2"/>
      <c r="AG12" s="2"/>
      <c r="AH12" s="2"/>
      <c r="AI12" s="2"/>
      <c r="AJ12" s="2"/>
    </row>
    <row r="13" spans="1:39" hidden="1" x14ac:dyDescent="0.25">
      <c r="A13" s="2" t="s">
        <v>35</v>
      </c>
      <c r="B13" s="2" t="s">
        <v>40</v>
      </c>
      <c r="C13" s="3">
        <v>41620</v>
      </c>
      <c r="D13" s="3"/>
      <c r="E13" s="3" t="s">
        <v>6</v>
      </c>
      <c r="F13" s="2" t="s">
        <v>6</v>
      </c>
      <c r="G13" s="2" t="s">
        <v>15</v>
      </c>
      <c r="H13" s="4" t="s">
        <v>41</v>
      </c>
      <c r="I13" s="4"/>
      <c r="J13" s="4"/>
      <c r="K13" s="2" t="s">
        <v>20</v>
      </c>
      <c r="L13" s="2"/>
      <c r="M13" s="3"/>
      <c r="N13" s="2"/>
      <c r="O13" s="3"/>
      <c r="P13" s="2"/>
      <c r="Q13" s="2"/>
      <c r="R13" s="2"/>
      <c r="S13" s="2"/>
      <c r="T13" s="2"/>
      <c r="U13" s="2"/>
      <c r="V13" s="2"/>
      <c r="W13" s="2"/>
      <c r="X13" s="2"/>
      <c r="Y13" s="2"/>
      <c r="Z13" s="4"/>
      <c r="AA13" s="3"/>
      <c r="AB13" s="4"/>
      <c r="AC13" s="2"/>
      <c r="AD13" s="2"/>
      <c r="AE13" s="2"/>
      <c r="AF13" s="2"/>
      <c r="AG13" s="2"/>
      <c r="AH13" s="2"/>
      <c r="AI13" s="2"/>
      <c r="AJ13" s="2"/>
    </row>
    <row r="14" spans="1:39" ht="15.75" thickBot="1" x14ac:dyDescent="0.3">
      <c r="A14" s="25" t="s">
        <v>42</v>
      </c>
      <c r="B14" s="25" t="s">
        <v>214</v>
      </c>
      <c r="C14" s="26">
        <v>43040</v>
      </c>
      <c r="D14" s="26">
        <v>43119</v>
      </c>
      <c r="E14" s="26" t="s">
        <v>28</v>
      </c>
      <c r="F14" s="73" t="s">
        <v>210</v>
      </c>
      <c r="G14" s="73" t="s">
        <v>181</v>
      </c>
      <c r="H14" s="27">
        <f>698+202</f>
        <v>900</v>
      </c>
      <c r="I14" s="27" t="s">
        <v>141</v>
      </c>
      <c r="J14" s="27" t="s">
        <v>190</v>
      </c>
      <c r="K14" s="25" t="s">
        <v>78</v>
      </c>
      <c r="L14" s="25"/>
      <c r="M14" s="3">
        <v>43474</v>
      </c>
      <c r="N14" s="4">
        <f>698+202</f>
        <v>900</v>
      </c>
      <c r="O14" s="3">
        <v>43497</v>
      </c>
      <c r="P14" s="60">
        <v>900</v>
      </c>
      <c r="Q14" s="3">
        <v>43532</v>
      </c>
      <c r="R14" s="4">
        <f>202+698</f>
        <v>900</v>
      </c>
      <c r="S14" s="3">
        <v>43579</v>
      </c>
      <c r="T14" s="4">
        <f>698+202</f>
        <v>900</v>
      </c>
      <c r="U14" s="3">
        <v>43593</v>
      </c>
      <c r="V14" s="4">
        <f>698+202</f>
        <v>900</v>
      </c>
      <c r="W14" s="3">
        <v>43635</v>
      </c>
      <c r="X14" s="4">
        <f>698+202</f>
        <v>900</v>
      </c>
      <c r="Y14" s="3">
        <v>43657</v>
      </c>
      <c r="Z14" s="4">
        <f>698+202</f>
        <v>900</v>
      </c>
      <c r="AA14" s="3">
        <v>43696</v>
      </c>
      <c r="AB14" s="4">
        <f>698+202</f>
        <v>900</v>
      </c>
      <c r="AC14" s="3">
        <v>43731</v>
      </c>
      <c r="AD14" s="4">
        <f>698+202</f>
        <v>900</v>
      </c>
      <c r="AE14" s="3">
        <v>43755</v>
      </c>
      <c r="AF14" s="4">
        <f>202+698</f>
        <v>900</v>
      </c>
      <c r="AG14" s="3">
        <v>43794</v>
      </c>
      <c r="AH14" s="40">
        <f>721.6+208.8</f>
        <v>930.40000000000009</v>
      </c>
      <c r="AI14" s="3">
        <v>43809</v>
      </c>
      <c r="AJ14" s="40">
        <f>721.6+208.8</f>
        <v>930.40000000000009</v>
      </c>
    </row>
    <row r="15" spans="1:39" x14ac:dyDescent="0.25">
      <c r="A15" s="25" t="s">
        <v>212</v>
      </c>
      <c r="B15" s="25"/>
      <c r="C15" s="26"/>
      <c r="D15" s="26" t="s">
        <v>181</v>
      </c>
      <c r="E15" s="71" t="s">
        <v>13</v>
      </c>
      <c r="F15" s="79" t="s">
        <v>218</v>
      </c>
      <c r="G15" s="80">
        <v>43770</v>
      </c>
      <c r="H15" s="72"/>
      <c r="I15" s="27"/>
      <c r="J15" s="27"/>
      <c r="K15" s="25" t="s">
        <v>78</v>
      </c>
      <c r="L15" s="25"/>
      <c r="M15" s="3" t="s">
        <v>181</v>
      </c>
      <c r="N15" s="4" t="s">
        <v>181</v>
      </c>
      <c r="O15" s="3" t="s">
        <v>181</v>
      </c>
      <c r="P15" s="60" t="s">
        <v>181</v>
      </c>
      <c r="Q15" s="3" t="s">
        <v>181</v>
      </c>
      <c r="R15" s="4" t="s">
        <v>181</v>
      </c>
      <c r="S15" s="3" t="s">
        <v>181</v>
      </c>
      <c r="T15" s="4" t="s">
        <v>181</v>
      </c>
      <c r="U15" s="3" t="s">
        <v>181</v>
      </c>
      <c r="V15" s="4" t="s">
        <v>181</v>
      </c>
      <c r="W15" s="3" t="s">
        <v>181</v>
      </c>
      <c r="X15" s="4" t="s">
        <v>181</v>
      </c>
      <c r="Y15" s="3" t="s">
        <v>181</v>
      </c>
      <c r="Z15" s="4" t="s">
        <v>181</v>
      </c>
      <c r="AA15" s="3" t="s">
        <v>181</v>
      </c>
      <c r="AB15" s="4" t="s">
        <v>181</v>
      </c>
      <c r="AC15" s="3" t="s">
        <v>181</v>
      </c>
      <c r="AD15" s="4" t="s">
        <v>181</v>
      </c>
      <c r="AE15" s="3" t="s">
        <v>181</v>
      </c>
      <c r="AF15" s="4" t="s">
        <v>181</v>
      </c>
      <c r="AG15" s="3" t="s">
        <v>181</v>
      </c>
      <c r="AH15" s="4" t="s">
        <v>181</v>
      </c>
      <c r="AI15" s="3" t="s">
        <v>181</v>
      </c>
      <c r="AJ15" s="4" t="s">
        <v>181</v>
      </c>
      <c r="AM15" s="96"/>
    </row>
    <row r="16" spans="1:39" ht="15.75" thickBot="1" x14ac:dyDescent="0.3">
      <c r="A16" s="25" t="s">
        <v>213</v>
      </c>
      <c r="B16" s="25"/>
      <c r="C16" s="26">
        <v>43405</v>
      </c>
      <c r="D16" s="26" t="s">
        <v>181</v>
      </c>
      <c r="E16" s="71" t="s">
        <v>28</v>
      </c>
      <c r="F16" s="76" t="s">
        <v>218</v>
      </c>
      <c r="G16" s="77">
        <v>44136</v>
      </c>
      <c r="H16" s="72"/>
      <c r="I16" s="27"/>
      <c r="J16" s="27"/>
      <c r="K16" s="25" t="s">
        <v>78</v>
      </c>
      <c r="L16" s="25"/>
      <c r="M16" s="3" t="s">
        <v>181</v>
      </c>
      <c r="N16" s="4" t="s">
        <v>181</v>
      </c>
      <c r="O16" s="3" t="s">
        <v>181</v>
      </c>
      <c r="P16" s="60" t="s">
        <v>181</v>
      </c>
      <c r="Q16" s="3" t="s">
        <v>181</v>
      </c>
      <c r="R16" s="4" t="s">
        <v>181</v>
      </c>
      <c r="S16" s="3" t="s">
        <v>181</v>
      </c>
      <c r="T16" s="4" t="s">
        <v>181</v>
      </c>
      <c r="U16" s="3" t="s">
        <v>181</v>
      </c>
      <c r="V16" s="4" t="s">
        <v>181</v>
      </c>
      <c r="W16" s="3" t="s">
        <v>181</v>
      </c>
      <c r="X16" s="4" t="s">
        <v>181</v>
      </c>
      <c r="Y16" s="3" t="s">
        <v>181</v>
      </c>
      <c r="Z16" s="4" t="s">
        <v>181</v>
      </c>
      <c r="AA16" s="3" t="s">
        <v>181</v>
      </c>
      <c r="AB16" s="4" t="s">
        <v>181</v>
      </c>
      <c r="AC16" s="3" t="s">
        <v>181</v>
      </c>
      <c r="AD16" s="4" t="s">
        <v>181</v>
      </c>
      <c r="AE16" s="3" t="s">
        <v>181</v>
      </c>
      <c r="AF16" s="4" t="s">
        <v>181</v>
      </c>
      <c r="AG16" s="3" t="s">
        <v>181</v>
      </c>
      <c r="AH16" s="4" t="s">
        <v>181</v>
      </c>
      <c r="AI16" s="3" t="s">
        <v>181</v>
      </c>
      <c r="AJ16" s="4" t="s">
        <v>181</v>
      </c>
      <c r="AM16" s="96"/>
    </row>
    <row r="17" spans="1:39" ht="15.75" thickBot="1" x14ac:dyDescent="0.3">
      <c r="A17" s="25" t="s">
        <v>231</v>
      </c>
      <c r="B17" s="25" t="s">
        <v>232</v>
      </c>
      <c r="C17" s="26">
        <v>43616</v>
      </c>
      <c r="D17" s="26"/>
      <c r="E17" s="71" t="s">
        <v>13</v>
      </c>
      <c r="F17" s="91" t="s">
        <v>89</v>
      </c>
      <c r="G17" s="92" t="s">
        <v>7</v>
      </c>
      <c r="H17" s="72">
        <v>202</v>
      </c>
      <c r="I17" s="27" t="s">
        <v>141</v>
      </c>
      <c r="J17" s="27"/>
      <c r="K17" s="25" t="s">
        <v>78</v>
      </c>
      <c r="L17" s="25"/>
      <c r="M17" s="3" t="s">
        <v>181</v>
      </c>
      <c r="N17" s="4" t="s">
        <v>181</v>
      </c>
      <c r="O17" s="3" t="s">
        <v>181</v>
      </c>
      <c r="P17" s="60" t="s">
        <v>181</v>
      </c>
      <c r="Q17" s="3" t="s">
        <v>181</v>
      </c>
      <c r="R17" s="4" t="s">
        <v>181</v>
      </c>
      <c r="S17" s="3" t="s">
        <v>181</v>
      </c>
      <c r="T17" s="4" t="s">
        <v>181</v>
      </c>
      <c r="U17" s="3" t="s">
        <v>181</v>
      </c>
      <c r="V17" s="4" t="s">
        <v>181</v>
      </c>
      <c r="W17" s="3" t="s">
        <v>181</v>
      </c>
      <c r="X17" s="4" t="s">
        <v>181</v>
      </c>
      <c r="Y17" s="3" t="s">
        <v>181</v>
      </c>
      <c r="Z17" s="4" t="s">
        <v>181</v>
      </c>
      <c r="AA17" s="3" t="s">
        <v>181</v>
      </c>
      <c r="AB17" s="4" t="s">
        <v>181</v>
      </c>
      <c r="AC17" s="3">
        <v>43727</v>
      </c>
      <c r="AD17" s="4">
        <v>202</v>
      </c>
      <c r="AE17" s="3">
        <v>43740</v>
      </c>
      <c r="AF17" s="4">
        <f>202+85.96</f>
        <v>287.95999999999998</v>
      </c>
      <c r="AG17" s="3">
        <v>43770</v>
      </c>
      <c r="AH17" s="4">
        <v>202</v>
      </c>
      <c r="AI17" s="3">
        <v>43801</v>
      </c>
      <c r="AJ17" s="4">
        <v>202</v>
      </c>
      <c r="AM17" s="96"/>
    </row>
    <row r="18" spans="1:39" x14ac:dyDescent="0.25">
      <c r="A18" s="25" t="s">
        <v>212</v>
      </c>
      <c r="B18" s="25"/>
      <c r="C18" s="26"/>
      <c r="D18" s="26" t="s">
        <v>181</v>
      </c>
      <c r="E18" s="71" t="s">
        <v>13</v>
      </c>
      <c r="F18" s="79" t="s">
        <v>218</v>
      </c>
      <c r="G18" s="80">
        <v>44044</v>
      </c>
      <c r="H18" s="72"/>
      <c r="I18" s="27"/>
      <c r="J18" s="27"/>
      <c r="K18" s="25" t="s">
        <v>78</v>
      </c>
      <c r="L18" s="25"/>
      <c r="M18" s="3" t="s">
        <v>181</v>
      </c>
      <c r="N18" s="4" t="s">
        <v>181</v>
      </c>
      <c r="O18" s="3" t="s">
        <v>181</v>
      </c>
      <c r="P18" s="60" t="s">
        <v>181</v>
      </c>
      <c r="Q18" s="3" t="s">
        <v>181</v>
      </c>
      <c r="R18" s="4" t="s">
        <v>181</v>
      </c>
      <c r="S18" s="3" t="s">
        <v>181</v>
      </c>
      <c r="T18" s="4" t="s">
        <v>181</v>
      </c>
      <c r="U18" s="3" t="s">
        <v>181</v>
      </c>
      <c r="V18" s="4" t="s">
        <v>181</v>
      </c>
      <c r="W18" s="3" t="s">
        <v>181</v>
      </c>
      <c r="X18" s="4" t="s">
        <v>181</v>
      </c>
      <c r="Y18" s="3" t="s">
        <v>181</v>
      </c>
      <c r="Z18" s="4" t="s">
        <v>181</v>
      </c>
      <c r="AA18" s="3" t="s">
        <v>181</v>
      </c>
      <c r="AB18" s="4" t="s">
        <v>181</v>
      </c>
      <c r="AC18" s="3" t="s">
        <v>181</v>
      </c>
      <c r="AD18" s="4" t="s">
        <v>181</v>
      </c>
      <c r="AE18" s="3" t="s">
        <v>181</v>
      </c>
      <c r="AF18" s="4" t="s">
        <v>181</v>
      </c>
      <c r="AG18" s="3" t="s">
        <v>181</v>
      </c>
      <c r="AH18" s="4" t="s">
        <v>181</v>
      </c>
      <c r="AI18" s="3" t="s">
        <v>181</v>
      </c>
      <c r="AJ18" s="4" t="s">
        <v>181</v>
      </c>
      <c r="AM18" s="96"/>
    </row>
    <row r="19" spans="1:39" ht="15.75" thickBot="1" x14ac:dyDescent="0.3">
      <c r="A19" s="25" t="s">
        <v>213</v>
      </c>
      <c r="B19" s="25"/>
      <c r="C19" s="26">
        <v>43405</v>
      </c>
      <c r="D19" s="26" t="s">
        <v>181</v>
      </c>
      <c r="E19" s="71" t="s">
        <v>28</v>
      </c>
      <c r="F19" s="76" t="s">
        <v>218</v>
      </c>
      <c r="G19" s="77">
        <v>44044</v>
      </c>
      <c r="H19" s="72"/>
      <c r="I19" s="27"/>
      <c r="J19" s="27"/>
      <c r="K19" s="25" t="s">
        <v>78</v>
      </c>
      <c r="L19" s="25"/>
      <c r="M19" s="3" t="s">
        <v>181</v>
      </c>
      <c r="N19" s="4" t="s">
        <v>181</v>
      </c>
      <c r="O19" s="3" t="s">
        <v>181</v>
      </c>
      <c r="P19" s="60" t="s">
        <v>181</v>
      </c>
      <c r="Q19" s="3" t="s">
        <v>181</v>
      </c>
      <c r="R19" s="4" t="s">
        <v>181</v>
      </c>
      <c r="S19" s="3" t="s">
        <v>181</v>
      </c>
      <c r="T19" s="4" t="s">
        <v>181</v>
      </c>
      <c r="U19" s="3" t="s">
        <v>181</v>
      </c>
      <c r="V19" s="4" t="s">
        <v>181</v>
      </c>
      <c r="W19" s="3" t="s">
        <v>181</v>
      </c>
      <c r="X19" s="4" t="s">
        <v>181</v>
      </c>
      <c r="Y19" s="3" t="s">
        <v>181</v>
      </c>
      <c r="Z19" s="4" t="s">
        <v>181</v>
      </c>
      <c r="AA19" s="3" t="s">
        <v>181</v>
      </c>
      <c r="AB19" s="4" t="s">
        <v>181</v>
      </c>
      <c r="AC19" s="3" t="s">
        <v>181</v>
      </c>
      <c r="AD19" s="4" t="s">
        <v>181</v>
      </c>
      <c r="AE19" s="3" t="s">
        <v>181</v>
      </c>
      <c r="AF19" s="4" t="s">
        <v>181</v>
      </c>
      <c r="AG19" s="3" t="s">
        <v>181</v>
      </c>
      <c r="AH19" s="4" t="s">
        <v>181</v>
      </c>
      <c r="AI19" s="3" t="s">
        <v>181</v>
      </c>
      <c r="AJ19" s="4" t="s">
        <v>181</v>
      </c>
      <c r="AM19" s="96"/>
    </row>
    <row r="20" spans="1:39" ht="15.75" thickBot="1" x14ac:dyDescent="0.3">
      <c r="A20" s="25" t="s">
        <v>44</v>
      </c>
      <c r="B20" s="25" t="s">
        <v>86</v>
      </c>
      <c r="C20" s="26">
        <v>38979</v>
      </c>
      <c r="D20" s="26" t="s">
        <v>181</v>
      </c>
      <c r="E20" s="26" t="s">
        <v>6</v>
      </c>
      <c r="F20" s="73" t="s">
        <v>89</v>
      </c>
      <c r="G20" s="73" t="s">
        <v>211</v>
      </c>
      <c r="H20" s="27">
        <v>1179.6300000000001</v>
      </c>
      <c r="I20" s="27" t="s">
        <v>110</v>
      </c>
      <c r="J20" s="27" t="s">
        <v>192</v>
      </c>
      <c r="K20" s="25" t="s">
        <v>78</v>
      </c>
      <c r="L20" s="25"/>
      <c r="M20" s="3">
        <v>43468</v>
      </c>
      <c r="N20" s="4">
        <v>1179.6300000000001</v>
      </c>
      <c r="O20" s="3">
        <v>43498</v>
      </c>
      <c r="P20" s="60">
        <v>1179.6300000000001</v>
      </c>
      <c r="Q20" s="3">
        <v>43532</v>
      </c>
      <c r="R20" s="4">
        <v>1179.6300000000001</v>
      </c>
      <c r="S20" s="3">
        <v>43558</v>
      </c>
      <c r="T20" s="4">
        <v>1179.6300000000001</v>
      </c>
      <c r="U20" s="3">
        <v>43591</v>
      </c>
      <c r="V20" s="4">
        <v>1179.6300000000001</v>
      </c>
      <c r="W20" s="3">
        <v>43621</v>
      </c>
      <c r="X20" s="4">
        <v>1179.6300000000001</v>
      </c>
      <c r="Y20" s="3">
        <v>43649</v>
      </c>
      <c r="Z20" s="4">
        <v>1179.6300000000001</v>
      </c>
      <c r="AA20" s="3">
        <v>43682</v>
      </c>
      <c r="AB20" s="4">
        <v>1179.6300000000001</v>
      </c>
      <c r="AC20" s="3">
        <v>43718</v>
      </c>
      <c r="AD20" s="4">
        <v>1230.56</v>
      </c>
      <c r="AE20" s="3">
        <v>43741</v>
      </c>
      <c r="AF20" s="4">
        <v>1230.56</v>
      </c>
      <c r="AG20" s="3">
        <v>43775</v>
      </c>
      <c r="AH20" s="4">
        <v>1230.56</v>
      </c>
      <c r="AI20" s="3">
        <v>43806</v>
      </c>
      <c r="AJ20" s="4">
        <v>1230.56</v>
      </c>
      <c r="AM20" s="96"/>
    </row>
    <row r="21" spans="1:39" x14ac:dyDescent="0.25">
      <c r="A21" s="25" t="s">
        <v>212</v>
      </c>
      <c r="B21" s="25"/>
      <c r="C21" s="26">
        <v>43530</v>
      </c>
      <c r="D21" s="26" t="s">
        <v>181</v>
      </c>
      <c r="E21" s="71" t="s">
        <v>13</v>
      </c>
      <c r="F21" s="74" t="s">
        <v>218</v>
      </c>
      <c r="G21" s="75">
        <v>43896</v>
      </c>
      <c r="H21" s="72"/>
      <c r="I21" s="27"/>
      <c r="J21" s="27"/>
      <c r="K21" s="25" t="s">
        <v>78</v>
      </c>
      <c r="L21" s="25"/>
      <c r="M21" s="3" t="s">
        <v>181</v>
      </c>
      <c r="N21" s="4" t="s">
        <v>181</v>
      </c>
      <c r="O21" s="3" t="s">
        <v>181</v>
      </c>
      <c r="P21" s="60" t="s">
        <v>181</v>
      </c>
      <c r="Q21" s="3" t="s">
        <v>181</v>
      </c>
      <c r="R21" s="4" t="s">
        <v>181</v>
      </c>
      <c r="S21" s="3" t="s">
        <v>181</v>
      </c>
      <c r="T21" s="4" t="s">
        <v>181</v>
      </c>
      <c r="U21" s="3" t="s">
        <v>181</v>
      </c>
      <c r="V21" s="4" t="s">
        <v>181</v>
      </c>
      <c r="W21" s="3" t="s">
        <v>181</v>
      </c>
      <c r="X21" s="4" t="s">
        <v>181</v>
      </c>
      <c r="Y21" s="3" t="s">
        <v>181</v>
      </c>
      <c r="Z21" s="4" t="s">
        <v>181</v>
      </c>
      <c r="AA21" s="3" t="s">
        <v>181</v>
      </c>
      <c r="AB21" s="4" t="s">
        <v>181</v>
      </c>
      <c r="AC21" s="3" t="s">
        <v>181</v>
      </c>
      <c r="AD21" s="4" t="s">
        <v>181</v>
      </c>
      <c r="AE21" s="3" t="s">
        <v>181</v>
      </c>
      <c r="AF21" s="4" t="s">
        <v>181</v>
      </c>
      <c r="AG21" s="3" t="s">
        <v>181</v>
      </c>
      <c r="AH21" s="4" t="s">
        <v>181</v>
      </c>
      <c r="AI21" s="3" t="s">
        <v>181</v>
      </c>
      <c r="AJ21" s="4" t="s">
        <v>181</v>
      </c>
      <c r="AM21" s="96"/>
    </row>
    <row r="22" spans="1:39" ht="15.75" thickBot="1" x14ac:dyDescent="0.3">
      <c r="A22" s="25" t="s">
        <v>213</v>
      </c>
      <c r="B22" s="25"/>
      <c r="C22" s="26">
        <v>43344</v>
      </c>
      <c r="D22" s="26" t="s">
        <v>181</v>
      </c>
      <c r="E22" s="71" t="s">
        <v>13</v>
      </c>
      <c r="F22" s="76" t="s">
        <v>218</v>
      </c>
      <c r="G22" s="77">
        <v>44075</v>
      </c>
      <c r="H22" s="72"/>
      <c r="I22" s="27"/>
      <c r="J22" s="27"/>
      <c r="K22" s="25" t="s">
        <v>78</v>
      </c>
      <c r="L22" s="25"/>
      <c r="M22" s="3" t="s">
        <v>181</v>
      </c>
      <c r="N22" s="4" t="s">
        <v>181</v>
      </c>
      <c r="O22" s="3" t="s">
        <v>181</v>
      </c>
      <c r="P22" s="60" t="s">
        <v>181</v>
      </c>
      <c r="Q22" s="3" t="s">
        <v>181</v>
      </c>
      <c r="R22" s="4" t="s">
        <v>181</v>
      </c>
      <c r="S22" s="3" t="s">
        <v>181</v>
      </c>
      <c r="T22" s="4" t="s">
        <v>181</v>
      </c>
      <c r="U22" s="3" t="s">
        <v>181</v>
      </c>
      <c r="V22" s="4" t="s">
        <v>181</v>
      </c>
      <c r="W22" s="3" t="s">
        <v>181</v>
      </c>
      <c r="X22" s="4" t="s">
        <v>181</v>
      </c>
      <c r="Y22" s="3" t="s">
        <v>181</v>
      </c>
      <c r="Z22" s="4" t="s">
        <v>181</v>
      </c>
      <c r="AA22" s="3" t="s">
        <v>181</v>
      </c>
      <c r="AB22" s="4" t="s">
        <v>181</v>
      </c>
      <c r="AC22" s="3" t="s">
        <v>181</v>
      </c>
      <c r="AD22" s="4" t="s">
        <v>181</v>
      </c>
      <c r="AE22" s="3" t="s">
        <v>181</v>
      </c>
      <c r="AF22" s="4" t="s">
        <v>181</v>
      </c>
      <c r="AG22" s="3" t="s">
        <v>181</v>
      </c>
      <c r="AH22" s="4" t="s">
        <v>181</v>
      </c>
      <c r="AI22" s="3" t="s">
        <v>181</v>
      </c>
      <c r="AJ22" s="4" t="s">
        <v>181</v>
      </c>
      <c r="AM22" s="96"/>
    </row>
    <row r="23" spans="1:39" hidden="1" x14ac:dyDescent="0.25">
      <c r="A23" s="2" t="s">
        <v>80</v>
      </c>
      <c r="B23" s="2" t="s">
        <v>81</v>
      </c>
      <c r="C23" s="3"/>
      <c r="D23" s="3"/>
      <c r="E23" s="3" t="s">
        <v>6</v>
      </c>
      <c r="F23" s="23" t="s">
        <v>89</v>
      </c>
      <c r="G23" s="23"/>
      <c r="H23" s="4">
        <v>2150</v>
      </c>
      <c r="I23" s="4"/>
      <c r="J23" s="4"/>
      <c r="K23" s="2" t="s">
        <v>82</v>
      </c>
      <c r="L23" s="2"/>
      <c r="M23" s="3"/>
      <c r="N23" s="2"/>
      <c r="O23" s="3"/>
      <c r="P23" s="2"/>
      <c r="Q23" s="2"/>
      <c r="R23" s="2"/>
      <c r="S23" s="2"/>
      <c r="T23" s="2"/>
      <c r="U23" s="2"/>
      <c r="V23" s="2"/>
      <c r="W23" s="2"/>
      <c r="X23" s="2"/>
      <c r="Y23" s="2"/>
      <c r="Z23" s="4"/>
      <c r="AA23" s="3"/>
      <c r="AB23" s="4"/>
      <c r="AC23" s="2"/>
      <c r="AD23" s="2"/>
      <c r="AE23" s="2"/>
      <c r="AF23" s="2"/>
      <c r="AG23" s="2"/>
      <c r="AH23" s="2"/>
      <c r="AI23" s="2"/>
      <c r="AJ23" s="2"/>
      <c r="AM23" s="96"/>
    </row>
    <row r="24" spans="1:39" hidden="1" x14ac:dyDescent="0.25">
      <c r="A24" s="25" t="s">
        <v>43</v>
      </c>
      <c r="B24" s="25" t="s">
        <v>103</v>
      </c>
      <c r="C24" s="26">
        <v>42880</v>
      </c>
      <c r="D24" s="26"/>
      <c r="E24" s="26" t="s">
        <v>6</v>
      </c>
      <c r="F24" s="73" t="s">
        <v>6</v>
      </c>
      <c r="G24" s="73" t="s">
        <v>7</v>
      </c>
      <c r="H24" s="27">
        <v>392</v>
      </c>
      <c r="I24" s="27" t="s">
        <v>140</v>
      </c>
      <c r="J24" s="27"/>
      <c r="K24" s="25" t="s">
        <v>149</v>
      </c>
      <c r="L24" s="41" t="s">
        <v>144</v>
      </c>
      <c r="M24" s="47">
        <v>0</v>
      </c>
      <c r="N24" s="47">
        <v>0</v>
      </c>
      <c r="O24" s="47" t="s">
        <v>199</v>
      </c>
      <c r="P24" s="48" t="s">
        <v>199</v>
      </c>
      <c r="Q24" s="3"/>
      <c r="R24" s="4"/>
      <c r="S24" s="3"/>
      <c r="T24" s="4"/>
      <c r="U24" s="3"/>
      <c r="V24" s="4"/>
      <c r="W24" s="3"/>
      <c r="X24" s="4"/>
      <c r="Y24" s="3"/>
      <c r="Z24" s="4"/>
      <c r="AA24" s="3"/>
      <c r="AB24" s="4"/>
      <c r="AC24" s="3"/>
      <c r="AD24" s="4"/>
      <c r="AE24" s="3"/>
      <c r="AF24" s="4"/>
      <c r="AG24" s="3"/>
      <c r="AH24" s="4"/>
      <c r="AI24" s="3"/>
      <c r="AJ24" s="4"/>
      <c r="AM24" s="96"/>
    </row>
    <row r="25" spans="1:39" x14ac:dyDescent="0.25">
      <c r="A25" s="25" t="s">
        <v>230</v>
      </c>
      <c r="B25" s="25" t="s">
        <v>143</v>
      </c>
      <c r="C25" s="26">
        <v>43115</v>
      </c>
      <c r="D25" s="26" t="s">
        <v>181</v>
      </c>
      <c r="E25" s="71" t="s">
        <v>216</v>
      </c>
      <c r="F25" s="25" t="s">
        <v>217</v>
      </c>
      <c r="G25" s="25" t="s">
        <v>181</v>
      </c>
      <c r="H25" s="72">
        <v>3500</v>
      </c>
      <c r="I25" s="27" t="s">
        <v>140</v>
      </c>
      <c r="J25" s="27" t="s">
        <v>191</v>
      </c>
      <c r="K25" s="25" t="s">
        <v>78</v>
      </c>
      <c r="L25" s="25"/>
      <c r="M25" s="3">
        <v>43468</v>
      </c>
      <c r="N25" s="40">
        <v>3000</v>
      </c>
      <c r="O25" s="3">
        <v>43497</v>
      </c>
      <c r="P25" s="61">
        <v>3000</v>
      </c>
      <c r="Q25" s="3">
        <v>43530</v>
      </c>
      <c r="R25" s="40">
        <v>3000</v>
      </c>
      <c r="S25" s="3">
        <v>43557</v>
      </c>
      <c r="T25" s="40">
        <v>3000</v>
      </c>
      <c r="U25" s="3">
        <v>43587</v>
      </c>
      <c r="V25" s="40">
        <v>3000</v>
      </c>
      <c r="W25" s="3">
        <v>43619</v>
      </c>
      <c r="X25" s="40">
        <v>3500</v>
      </c>
      <c r="Y25" s="3">
        <v>43647</v>
      </c>
      <c r="Z25" s="40">
        <v>3500</v>
      </c>
      <c r="AA25" s="3">
        <v>43684</v>
      </c>
      <c r="AB25" s="40">
        <v>3500</v>
      </c>
      <c r="AC25" s="3">
        <v>43714</v>
      </c>
      <c r="AD25" s="40">
        <v>3500</v>
      </c>
      <c r="AE25" s="3">
        <v>43755</v>
      </c>
      <c r="AF25" s="40">
        <v>3500</v>
      </c>
      <c r="AG25" s="3">
        <v>43773</v>
      </c>
      <c r="AH25" s="40">
        <v>3500</v>
      </c>
      <c r="AI25" s="3">
        <v>43811</v>
      </c>
      <c r="AJ25" s="40">
        <v>3500</v>
      </c>
      <c r="AM25" s="96"/>
    </row>
    <row r="26" spans="1:39" x14ac:dyDescent="0.25">
      <c r="A26" s="25" t="s">
        <v>83</v>
      </c>
      <c r="B26" s="25" t="s">
        <v>84</v>
      </c>
      <c r="C26" s="26" t="s">
        <v>181</v>
      </c>
      <c r="D26" s="26" t="s">
        <v>181</v>
      </c>
      <c r="E26" s="26">
        <v>44013</v>
      </c>
      <c r="F26" s="78"/>
      <c r="G26" s="78" t="s">
        <v>181</v>
      </c>
      <c r="H26" s="27">
        <v>2253.75</v>
      </c>
      <c r="I26" s="27" t="s">
        <v>111</v>
      </c>
      <c r="J26" s="27" t="s">
        <v>181</v>
      </c>
      <c r="K26" s="25" t="s">
        <v>78</v>
      </c>
      <c r="L26" s="25" t="s">
        <v>154</v>
      </c>
      <c r="M26" s="3">
        <v>43474</v>
      </c>
      <c r="N26" s="4" t="s">
        <v>153</v>
      </c>
      <c r="O26" s="3">
        <v>43505</v>
      </c>
      <c r="P26" s="4" t="s">
        <v>153</v>
      </c>
      <c r="Q26" s="3">
        <v>43535</v>
      </c>
      <c r="R26" s="67" t="s">
        <v>153</v>
      </c>
      <c r="S26" s="3">
        <v>43570</v>
      </c>
      <c r="T26" s="67" t="s">
        <v>153</v>
      </c>
      <c r="U26" s="3">
        <v>43600</v>
      </c>
      <c r="V26" s="67" t="s">
        <v>153</v>
      </c>
      <c r="W26" s="3">
        <v>43627</v>
      </c>
      <c r="X26" s="67" t="s">
        <v>153</v>
      </c>
      <c r="Y26" s="3">
        <v>43649</v>
      </c>
      <c r="Z26" s="67" t="s">
        <v>153</v>
      </c>
      <c r="AA26" s="3">
        <v>43682</v>
      </c>
      <c r="AB26" s="4" t="s">
        <v>153</v>
      </c>
      <c r="AC26" s="3">
        <v>43714</v>
      </c>
      <c r="AD26" s="4" t="s">
        <v>153</v>
      </c>
      <c r="AE26" s="3">
        <v>43746</v>
      </c>
      <c r="AF26" s="4" t="s">
        <v>153</v>
      </c>
      <c r="AG26" s="3">
        <v>43774</v>
      </c>
      <c r="AH26" s="4" t="s">
        <v>153</v>
      </c>
      <c r="AI26" s="3">
        <v>43804</v>
      </c>
      <c r="AJ26" s="4" t="s">
        <v>153</v>
      </c>
      <c r="AM26" s="96"/>
    </row>
    <row r="27" spans="1:39" hidden="1" x14ac:dyDescent="0.25">
      <c r="A27" s="2" t="s">
        <v>166</v>
      </c>
      <c r="B27" s="2" t="s">
        <v>88</v>
      </c>
      <c r="C27" s="3" t="s">
        <v>181</v>
      </c>
      <c r="D27" s="26" t="s">
        <v>181</v>
      </c>
      <c r="E27" s="3" t="s">
        <v>6</v>
      </c>
      <c r="F27" s="23" t="s">
        <v>89</v>
      </c>
      <c r="G27" s="23"/>
      <c r="H27" s="4">
        <v>297.77</v>
      </c>
      <c r="I27" s="4" t="s">
        <v>170</v>
      </c>
      <c r="J27" s="4" t="s">
        <v>181</v>
      </c>
      <c r="K27" s="2" t="s">
        <v>156</v>
      </c>
      <c r="L27" s="2"/>
      <c r="M27" s="3" t="s">
        <v>181</v>
      </c>
      <c r="N27" s="2" t="s">
        <v>181</v>
      </c>
      <c r="O27" s="3">
        <v>43516</v>
      </c>
      <c r="P27" s="2">
        <v>231.48</v>
      </c>
      <c r="Q27" s="2"/>
      <c r="R27" s="2"/>
      <c r="S27" s="2"/>
      <c r="T27" s="2"/>
      <c r="U27" s="2"/>
      <c r="V27" s="4"/>
      <c r="W27" s="2"/>
      <c r="X27" s="2"/>
      <c r="Y27" s="2"/>
      <c r="Z27" s="4"/>
      <c r="AA27" s="3"/>
      <c r="AB27" s="4"/>
      <c r="AC27" s="2"/>
      <c r="AD27" s="2"/>
      <c r="AE27" s="2"/>
      <c r="AF27" s="2"/>
      <c r="AG27" s="2"/>
      <c r="AH27" s="2"/>
      <c r="AI27" s="2"/>
      <c r="AJ27" s="2"/>
    </row>
    <row r="28" spans="1:39" hidden="1" x14ac:dyDescent="0.25">
      <c r="A28" s="2" t="s">
        <v>91</v>
      </c>
      <c r="B28" s="2" t="s">
        <v>92</v>
      </c>
      <c r="C28" s="3" t="s">
        <v>181</v>
      </c>
      <c r="D28" s="26" t="s">
        <v>181</v>
      </c>
      <c r="E28" s="3" t="s">
        <v>6</v>
      </c>
      <c r="F28" s="2" t="s">
        <v>89</v>
      </c>
      <c r="G28" s="2"/>
      <c r="H28" s="4">
        <v>722.62</v>
      </c>
      <c r="I28" s="4" t="s">
        <v>165</v>
      </c>
      <c r="J28" s="4" t="s">
        <v>181</v>
      </c>
      <c r="K28" s="2" t="s">
        <v>156</v>
      </c>
      <c r="L28" s="2"/>
      <c r="M28" s="3" t="s">
        <v>181</v>
      </c>
      <c r="N28" s="2" t="s">
        <v>181</v>
      </c>
      <c r="O28" s="3"/>
      <c r="P28" s="2"/>
      <c r="Q28" s="2"/>
      <c r="R28" s="2"/>
      <c r="S28" s="2"/>
      <c r="T28" s="2"/>
      <c r="U28" s="3">
        <v>43594</v>
      </c>
      <c r="V28" s="4">
        <v>650.35</v>
      </c>
      <c r="W28" s="2"/>
      <c r="X28" s="2"/>
      <c r="Y28" s="2"/>
      <c r="Z28" s="4"/>
      <c r="AA28" s="3"/>
      <c r="AB28" s="4"/>
      <c r="AC28" s="2" t="s">
        <v>183</v>
      </c>
      <c r="AD28" s="2"/>
      <c r="AE28" s="2"/>
      <c r="AF28" s="2"/>
      <c r="AG28" s="2"/>
      <c r="AH28" s="2"/>
      <c r="AI28" s="2"/>
      <c r="AJ28" s="2"/>
    </row>
    <row r="29" spans="1:39" x14ac:dyDescent="0.25">
      <c r="A29" s="2" t="s">
        <v>95</v>
      </c>
      <c r="B29" s="2" t="s">
        <v>96</v>
      </c>
      <c r="C29" s="3">
        <v>41459</v>
      </c>
      <c r="D29" s="26" t="s">
        <v>181</v>
      </c>
      <c r="E29" s="3" t="s">
        <v>6</v>
      </c>
      <c r="F29" s="2" t="s">
        <v>6</v>
      </c>
      <c r="G29" s="2" t="s">
        <v>181</v>
      </c>
      <c r="H29" s="4">
        <v>220</v>
      </c>
      <c r="I29" s="4" t="s">
        <v>147</v>
      </c>
      <c r="J29" s="4" t="s">
        <v>193</v>
      </c>
      <c r="K29" s="2" t="s">
        <v>78</v>
      </c>
      <c r="L29" s="68" t="s">
        <v>215</v>
      </c>
      <c r="M29" s="3">
        <v>43467</v>
      </c>
      <c r="N29" s="4">
        <v>220</v>
      </c>
      <c r="O29" s="3">
        <v>43512</v>
      </c>
      <c r="P29" s="60">
        <v>220</v>
      </c>
      <c r="Q29" s="3">
        <v>43542</v>
      </c>
      <c r="R29" s="4">
        <v>440</v>
      </c>
      <c r="S29" s="3">
        <v>43571</v>
      </c>
      <c r="T29" s="4">
        <v>920</v>
      </c>
      <c r="U29" s="3">
        <v>43602</v>
      </c>
      <c r="V29" s="4">
        <v>220</v>
      </c>
      <c r="W29" s="3">
        <v>43633</v>
      </c>
      <c r="X29" s="4">
        <v>220</v>
      </c>
      <c r="Y29" s="3">
        <v>43662</v>
      </c>
      <c r="Z29" s="4">
        <v>440</v>
      </c>
      <c r="AA29" s="3">
        <v>43693</v>
      </c>
      <c r="AB29" s="4">
        <v>440</v>
      </c>
      <c r="AC29" s="3">
        <v>43724</v>
      </c>
      <c r="AD29" s="4">
        <v>920</v>
      </c>
      <c r="AE29" s="3">
        <v>43754</v>
      </c>
      <c r="AF29" s="4">
        <v>440</v>
      </c>
      <c r="AG29" s="3">
        <v>43788</v>
      </c>
      <c r="AH29" s="4">
        <v>250</v>
      </c>
      <c r="AI29" s="3">
        <v>43814</v>
      </c>
      <c r="AJ29" s="4">
        <v>530</v>
      </c>
    </row>
    <row r="30" spans="1:39" x14ac:dyDescent="0.25">
      <c r="A30" s="2" t="s">
        <v>150</v>
      </c>
      <c r="B30" s="2" t="s">
        <v>151</v>
      </c>
      <c r="C30" s="3">
        <v>43060</v>
      </c>
      <c r="D30" s="26" t="s">
        <v>181</v>
      </c>
      <c r="E30" s="3" t="s">
        <v>28</v>
      </c>
      <c r="F30" s="2" t="s">
        <v>217</v>
      </c>
      <c r="G30" s="2" t="s">
        <v>15</v>
      </c>
      <c r="H30" s="4">
        <v>4500</v>
      </c>
      <c r="I30" s="27" t="s">
        <v>110</v>
      </c>
      <c r="J30" s="27" t="s">
        <v>194</v>
      </c>
      <c r="K30" s="2" t="s">
        <v>78</v>
      </c>
      <c r="L30" s="2"/>
      <c r="M30" s="54">
        <v>43481</v>
      </c>
      <c r="N30" s="4">
        <v>3300</v>
      </c>
      <c r="O30" s="54">
        <v>43515</v>
      </c>
      <c r="P30" s="47">
        <v>3300</v>
      </c>
      <c r="Q30" s="3">
        <v>43542</v>
      </c>
      <c r="R30" s="4">
        <v>4500</v>
      </c>
      <c r="S30" s="3">
        <v>43578</v>
      </c>
      <c r="T30" s="4">
        <v>4500</v>
      </c>
      <c r="U30" s="3">
        <v>43605</v>
      </c>
      <c r="V30" s="4">
        <v>4500</v>
      </c>
      <c r="W30" s="3">
        <v>43634</v>
      </c>
      <c r="X30" s="4">
        <v>4500</v>
      </c>
      <c r="Y30" s="3">
        <v>43664</v>
      </c>
      <c r="Z30" s="4">
        <v>4500</v>
      </c>
      <c r="AA30" s="3">
        <v>43697</v>
      </c>
      <c r="AB30" s="4">
        <v>4500</v>
      </c>
      <c r="AC30" s="3">
        <v>43731</v>
      </c>
      <c r="AD30" s="4">
        <v>4500</v>
      </c>
      <c r="AE30" s="3">
        <v>43766</v>
      </c>
      <c r="AF30" s="4">
        <v>4500</v>
      </c>
      <c r="AG30" s="3">
        <v>43788</v>
      </c>
      <c r="AH30" s="4">
        <v>4500</v>
      </c>
      <c r="AI30" s="3">
        <v>43818</v>
      </c>
      <c r="AJ30" s="4">
        <v>4500</v>
      </c>
      <c r="AM30" s="96"/>
    </row>
    <row r="31" spans="1:39" hidden="1" x14ac:dyDescent="0.25">
      <c r="A31" s="2" t="s">
        <v>97</v>
      </c>
      <c r="B31" s="2" t="s">
        <v>98</v>
      </c>
      <c r="C31" s="3"/>
      <c r="D31" s="3"/>
      <c r="E31" s="3">
        <v>43252</v>
      </c>
      <c r="F31" s="2"/>
      <c r="G31" s="2"/>
      <c r="H31" s="4">
        <v>1000</v>
      </c>
      <c r="I31" s="4"/>
      <c r="J31" s="4"/>
      <c r="K31" s="2" t="s">
        <v>82</v>
      </c>
      <c r="L31" s="2"/>
      <c r="M31" s="3"/>
      <c r="N31" s="2"/>
      <c r="O31" s="3"/>
      <c r="P31" s="2"/>
      <c r="Q31" s="2"/>
      <c r="R31" s="2"/>
      <c r="S31" s="2"/>
      <c r="T31" s="2"/>
      <c r="U31" s="2"/>
      <c r="V31" s="2"/>
      <c r="W31" s="3"/>
      <c r="X31" s="2"/>
      <c r="Y31" s="2"/>
      <c r="Z31" s="4"/>
      <c r="AA31" s="3"/>
      <c r="AB31" s="4"/>
      <c r="AC31" s="3"/>
      <c r="AD31" s="2"/>
      <c r="AE31" s="2"/>
      <c r="AF31" s="2"/>
      <c r="AG31" s="2"/>
      <c r="AH31" s="2"/>
      <c r="AI31" s="2"/>
      <c r="AJ31" s="2"/>
      <c r="AM31" s="96"/>
    </row>
    <row r="32" spans="1:39" hidden="1" x14ac:dyDescent="0.25">
      <c r="A32" s="2" t="s">
        <v>101</v>
      </c>
      <c r="B32" s="2" t="s">
        <v>102</v>
      </c>
      <c r="C32" s="3" t="s">
        <v>181</v>
      </c>
      <c r="D32" s="26" t="s">
        <v>181</v>
      </c>
      <c r="E32" s="3"/>
      <c r="F32" s="2"/>
      <c r="G32" s="2"/>
      <c r="H32" s="4"/>
      <c r="I32" s="4" t="s">
        <v>164</v>
      </c>
      <c r="J32" s="4" t="s">
        <v>181</v>
      </c>
      <c r="K32" s="2" t="s">
        <v>157</v>
      </c>
      <c r="L32" s="2"/>
      <c r="M32" s="3" t="s">
        <v>181</v>
      </c>
      <c r="N32" s="2" t="s">
        <v>181</v>
      </c>
      <c r="O32" s="3"/>
      <c r="P32" s="2"/>
      <c r="Q32" s="2"/>
      <c r="R32" s="2"/>
      <c r="S32" s="2"/>
      <c r="T32" s="2"/>
      <c r="U32" s="2"/>
      <c r="V32" s="2"/>
      <c r="W32" s="3"/>
      <c r="X32" s="2"/>
      <c r="Y32" s="2"/>
      <c r="Z32" s="4"/>
      <c r="AA32" s="3"/>
      <c r="AB32" s="4"/>
      <c r="AC32" s="3"/>
      <c r="AD32" s="2"/>
      <c r="AE32" s="2"/>
      <c r="AF32" s="2"/>
      <c r="AG32" s="2"/>
      <c r="AH32" s="2"/>
      <c r="AI32" s="2"/>
      <c r="AJ32" s="2"/>
      <c r="AM32" s="96"/>
    </row>
    <row r="33" spans="1:39" x14ac:dyDescent="0.25">
      <c r="A33" s="2" t="s">
        <v>158</v>
      </c>
      <c r="B33" s="2" t="s">
        <v>159</v>
      </c>
      <c r="C33" s="3" t="s">
        <v>181</v>
      </c>
      <c r="D33" s="26" t="s">
        <v>181</v>
      </c>
      <c r="E33" s="3" t="s">
        <v>181</v>
      </c>
      <c r="F33" s="2" t="s">
        <v>181</v>
      </c>
      <c r="G33" s="2" t="s">
        <v>181</v>
      </c>
      <c r="H33" s="4">
        <v>1072</v>
      </c>
      <c r="I33" s="27" t="s">
        <v>140</v>
      </c>
      <c r="J33" s="27" t="s">
        <v>181</v>
      </c>
      <c r="K33" s="2" t="s">
        <v>78</v>
      </c>
      <c r="L33" s="2"/>
      <c r="M33" s="54">
        <v>43473</v>
      </c>
      <c r="N33" s="4">
        <f>836.7+194.25</f>
        <v>1030.95</v>
      </c>
      <c r="O33" s="54">
        <v>43500</v>
      </c>
      <c r="P33" s="4">
        <v>1030.95</v>
      </c>
      <c r="Q33" s="54">
        <v>43530</v>
      </c>
      <c r="R33" s="4">
        <f>836.7+194.25</f>
        <v>1030.95</v>
      </c>
      <c r="S33" s="54">
        <v>43578</v>
      </c>
      <c r="T33" s="4">
        <f>194.25+836.7</f>
        <v>1030.95</v>
      </c>
      <c r="U33" s="3">
        <v>43599</v>
      </c>
      <c r="V33" s="4">
        <f>194.25+877.79</f>
        <v>1072.04</v>
      </c>
      <c r="W33" s="3">
        <v>43628</v>
      </c>
      <c r="X33" s="4">
        <f>896.61+194.25</f>
        <v>1090.8600000000001</v>
      </c>
      <c r="Y33" s="3">
        <v>43668</v>
      </c>
      <c r="Z33" s="4">
        <f>206.94+946.39</f>
        <v>1153.33</v>
      </c>
      <c r="AA33" s="3">
        <v>43690</v>
      </c>
      <c r="AB33" s="4">
        <f>206.94+925.89</f>
        <v>1132.83</v>
      </c>
      <c r="AC33" s="3">
        <v>43717</v>
      </c>
      <c r="AD33" s="4">
        <f>925.91+206.94</f>
        <v>1132.8499999999999</v>
      </c>
      <c r="AE33" s="3">
        <v>43748</v>
      </c>
      <c r="AF33" s="4">
        <f>925.91+206.94</f>
        <v>1132.8499999999999</v>
      </c>
      <c r="AG33" s="3">
        <v>43775</v>
      </c>
      <c r="AH33" s="4">
        <f>925.91+206.94</f>
        <v>1132.8499999999999</v>
      </c>
      <c r="AI33" s="3">
        <v>43802</v>
      </c>
      <c r="AJ33" s="2">
        <f>206.94+925.91</f>
        <v>1132.8499999999999</v>
      </c>
      <c r="AM33" s="96"/>
    </row>
    <row r="34" spans="1:39" hidden="1" x14ac:dyDescent="0.25">
      <c r="A34" s="2" t="s">
        <v>37</v>
      </c>
      <c r="B34" s="2" t="s">
        <v>172</v>
      </c>
      <c r="C34" s="3">
        <v>34719</v>
      </c>
      <c r="D34" s="26" t="s">
        <v>181</v>
      </c>
      <c r="E34" s="3"/>
      <c r="F34" s="2" t="s">
        <v>6</v>
      </c>
      <c r="G34" s="2" t="s">
        <v>6</v>
      </c>
      <c r="H34" s="4" t="s">
        <v>139</v>
      </c>
      <c r="I34" s="4" t="s">
        <v>170</v>
      </c>
      <c r="J34" s="4" t="s">
        <v>195</v>
      </c>
      <c r="K34" s="2" t="s">
        <v>78</v>
      </c>
      <c r="L34" s="2"/>
      <c r="M34" s="54" t="s">
        <v>181</v>
      </c>
      <c r="N34" s="4" t="s">
        <v>181</v>
      </c>
      <c r="O34" s="54" t="s">
        <v>181</v>
      </c>
      <c r="P34" s="47" t="s">
        <v>199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0</v>
      </c>
      <c r="AE34" s="47">
        <v>0</v>
      </c>
      <c r="AF34" s="47">
        <v>0</v>
      </c>
      <c r="AG34" s="47">
        <v>0</v>
      </c>
      <c r="AH34" s="47">
        <v>0</v>
      </c>
      <c r="AI34" s="47">
        <v>0</v>
      </c>
      <c r="AJ34" s="47">
        <v>0</v>
      </c>
      <c r="AM34" s="96"/>
    </row>
    <row r="35" spans="1:39" hidden="1" x14ac:dyDescent="0.25">
      <c r="A35" s="2" t="s">
        <v>38</v>
      </c>
      <c r="B35" s="2" t="s">
        <v>180</v>
      </c>
      <c r="C35" s="3" t="s">
        <v>181</v>
      </c>
      <c r="D35" s="3" t="s">
        <v>181</v>
      </c>
      <c r="E35" s="3" t="s">
        <v>181</v>
      </c>
      <c r="F35" s="2" t="s">
        <v>181</v>
      </c>
      <c r="G35" s="2" t="s">
        <v>181</v>
      </c>
      <c r="H35" s="4" t="s">
        <v>139</v>
      </c>
      <c r="I35" s="4" t="s">
        <v>170</v>
      </c>
      <c r="J35" s="4" t="s">
        <v>198</v>
      </c>
      <c r="K35" s="2" t="s">
        <v>78</v>
      </c>
      <c r="L35" s="2"/>
      <c r="M35" s="54" t="s">
        <v>181</v>
      </c>
      <c r="N35" s="4" t="s">
        <v>181</v>
      </c>
      <c r="O35" s="54" t="s">
        <v>181</v>
      </c>
      <c r="P35" s="47" t="s">
        <v>199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>
        <v>0</v>
      </c>
      <c r="AF35" s="47">
        <v>0</v>
      </c>
      <c r="AG35" s="47">
        <v>0</v>
      </c>
      <c r="AH35" s="47">
        <v>0</v>
      </c>
      <c r="AI35" s="47">
        <v>0</v>
      </c>
      <c r="AJ35" s="47">
        <v>0</v>
      </c>
      <c r="AM35" s="96"/>
    </row>
    <row r="36" spans="1:39" x14ac:dyDescent="0.25">
      <c r="A36" s="2" t="s">
        <v>176</v>
      </c>
      <c r="B36" s="2" t="s">
        <v>179</v>
      </c>
      <c r="C36" s="3" t="s">
        <v>181</v>
      </c>
      <c r="D36" s="3" t="s">
        <v>181</v>
      </c>
      <c r="E36" s="3" t="s">
        <v>181</v>
      </c>
      <c r="F36" s="2" t="s">
        <v>181</v>
      </c>
      <c r="G36" s="2" t="s">
        <v>181</v>
      </c>
      <c r="H36" s="4" t="s">
        <v>139</v>
      </c>
      <c r="I36" s="4" t="s">
        <v>170</v>
      </c>
      <c r="J36" s="4" t="s">
        <v>197</v>
      </c>
      <c r="K36" s="2" t="s">
        <v>78</v>
      </c>
      <c r="L36" s="2"/>
      <c r="M36" s="54">
        <v>43468</v>
      </c>
      <c r="N36" s="4">
        <v>499.76</v>
      </c>
      <c r="O36" s="54">
        <v>43482</v>
      </c>
      <c r="P36" s="4">
        <v>430.76</v>
      </c>
      <c r="Q36" s="54">
        <v>43530</v>
      </c>
      <c r="R36" s="4">
        <v>583.54999999999995</v>
      </c>
      <c r="S36" s="54">
        <v>43561</v>
      </c>
      <c r="T36" s="4">
        <v>542.15</v>
      </c>
      <c r="U36" s="54">
        <v>43591</v>
      </c>
      <c r="V36" s="4">
        <v>634.80999999999995</v>
      </c>
      <c r="W36" s="54">
        <v>43622</v>
      </c>
      <c r="X36" s="4">
        <v>658.96</v>
      </c>
      <c r="Y36" s="54">
        <v>43647</v>
      </c>
      <c r="Z36" s="47">
        <v>259.24</v>
      </c>
      <c r="AA36" s="54">
        <v>43670</v>
      </c>
      <c r="AB36" s="47">
        <v>1006.53</v>
      </c>
      <c r="AC36" s="3">
        <v>43717</v>
      </c>
      <c r="AD36" s="47">
        <v>794.66</v>
      </c>
      <c r="AE36" s="3">
        <v>43740</v>
      </c>
      <c r="AF36" s="4">
        <v>679.89</v>
      </c>
      <c r="AG36" s="54">
        <v>43774</v>
      </c>
      <c r="AH36" s="4">
        <v>695.53</v>
      </c>
      <c r="AI36" s="54">
        <v>43822</v>
      </c>
      <c r="AJ36" s="4">
        <v>698.07</v>
      </c>
      <c r="AM36" s="96"/>
    </row>
    <row r="37" spans="1:39" x14ac:dyDescent="0.25">
      <c r="A37" s="2" t="s">
        <v>177</v>
      </c>
      <c r="B37" s="2" t="s">
        <v>178</v>
      </c>
      <c r="C37" s="3" t="s">
        <v>181</v>
      </c>
      <c r="D37" s="3" t="s">
        <v>181</v>
      </c>
      <c r="E37" s="3" t="s">
        <v>181</v>
      </c>
      <c r="F37" s="2" t="s">
        <v>181</v>
      </c>
      <c r="G37" s="2" t="s">
        <v>181</v>
      </c>
      <c r="H37" s="4" t="s">
        <v>139</v>
      </c>
      <c r="I37" s="4" t="s">
        <v>170</v>
      </c>
      <c r="J37" s="4" t="s">
        <v>197</v>
      </c>
      <c r="K37" s="2" t="s">
        <v>78</v>
      </c>
      <c r="L37" s="2"/>
      <c r="M37" s="54">
        <v>43468</v>
      </c>
      <c r="N37" s="4">
        <v>196.86</v>
      </c>
      <c r="O37" s="54">
        <v>43482</v>
      </c>
      <c r="P37" s="4">
        <v>78.58</v>
      </c>
      <c r="Q37" s="54">
        <v>43530</v>
      </c>
      <c r="R37" s="4">
        <v>50.02</v>
      </c>
      <c r="S37" s="54">
        <v>43561</v>
      </c>
      <c r="T37" s="4">
        <v>44.25</v>
      </c>
      <c r="U37" s="54">
        <v>43591</v>
      </c>
      <c r="V37" s="4">
        <v>47.41</v>
      </c>
      <c r="W37" s="54">
        <v>43622</v>
      </c>
      <c r="X37" s="4">
        <v>48.99</v>
      </c>
      <c r="Y37" s="54">
        <v>43647</v>
      </c>
      <c r="Z37" s="47">
        <v>152.47999999999999</v>
      </c>
      <c r="AA37" s="54">
        <v>43671</v>
      </c>
      <c r="AB37" s="47">
        <v>45.83</v>
      </c>
      <c r="AC37" s="3">
        <v>43717</v>
      </c>
      <c r="AD37" s="47">
        <v>50.57</v>
      </c>
      <c r="AE37" s="3">
        <v>43740</v>
      </c>
      <c r="AF37" s="4">
        <v>165.11</v>
      </c>
      <c r="AG37" s="54">
        <v>43774</v>
      </c>
      <c r="AH37" s="4">
        <v>48.99</v>
      </c>
      <c r="AI37" s="54">
        <v>43822</v>
      </c>
      <c r="AJ37" s="4">
        <v>47.41</v>
      </c>
      <c r="AM37" s="96"/>
    </row>
    <row r="38" spans="1:39" x14ac:dyDescent="0.25">
      <c r="A38" s="2" t="s">
        <v>160</v>
      </c>
      <c r="B38" s="2" t="s">
        <v>161</v>
      </c>
      <c r="C38" s="3" t="s">
        <v>181</v>
      </c>
      <c r="D38" s="3" t="s">
        <v>181</v>
      </c>
      <c r="E38" s="3" t="s">
        <v>181</v>
      </c>
      <c r="F38" s="2" t="s">
        <v>181</v>
      </c>
      <c r="G38" s="2" t="s">
        <v>181</v>
      </c>
      <c r="H38" s="4" t="s">
        <v>139</v>
      </c>
      <c r="I38" s="4" t="s">
        <v>170</v>
      </c>
      <c r="J38" s="4" t="s">
        <v>196</v>
      </c>
      <c r="K38" s="2" t="s">
        <v>78</v>
      </c>
      <c r="L38" s="2"/>
      <c r="M38" s="54">
        <v>43469</v>
      </c>
      <c r="N38" s="4">
        <v>212.24</v>
      </c>
      <c r="O38" s="54">
        <v>43524</v>
      </c>
      <c r="P38" s="4">
        <v>244.9</v>
      </c>
      <c r="Q38" s="54">
        <v>43539</v>
      </c>
      <c r="R38" s="4">
        <v>244.9</v>
      </c>
      <c r="S38" s="54">
        <v>43570</v>
      </c>
      <c r="T38" s="4">
        <v>244.9</v>
      </c>
      <c r="U38" s="54">
        <v>43600</v>
      </c>
      <c r="V38" s="4">
        <v>244.9</v>
      </c>
      <c r="W38" s="54">
        <v>43620</v>
      </c>
      <c r="X38" s="4">
        <v>244.9</v>
      </c>
      <c r="Y38" s="54">
        <v>43654</v>
      </c>
      <c r="Z38" s="47">
        <v>244.9</v>
      </c>
      <c r="AA38" s="54">
        <v>43678</v>
      </c>
      <c r="AB38" s="47">
        <v>244.9</v>
      </c>
      <c r="AC38" s="3">
        <v>43712</v>
      </c>
      <c r="AD38" s="4">
        <v>244.9</v>
      </c>
      <c r="AE38" s="3">
        <v>43739</v>
      </c>
      <c r="AF38" s="4">
        <v>244.9</v>
      </c>
      <c r="AG38" s="3">
        <v>43774</v>
      </c>
      <c r="AH38" s="4">
        <v>257.02</v>
      </c>
      <c r="AI38" s="3">
        <v>43822</v>
      </c>
      <c r="AJ38" s="4">
        <v>257.02</v>
      </c>
      <c r="AM38" s="96"/>
    </row>
    <row r="39" spans="1:39" hidden="1" x14ac:dyDescent="0.25">
      <c r="A39" s="2" t="s">
        <v>163</v>
      </c>
      <c r="B39" s="2" t="s">
        <v>162</v>
      </c>
      <c r="C39" s="3" t="s">
        <v>181</v>
      </c>
      <c r="D39" s="3" t="s">
        <v>181</v>
      </c>
      <c r="E39" s="3" t="s">
        <v>181</v>
      </c>
      <c r="F39" s="2" t="s">
        <v>181</v>
      </c>
      <c r="G39" s="2" t="s">
        <v>181</v>
      </c>
      <c r="H39" s="4" t="s">
        <v>139</v>
      </c>
      <c r="I39" s="4" t="s">
        <v>170</v>
      </c>
      <c r="J39" s="4" t="s">
        <v>181</v>
      </c>
      <c r="K39" s="2" t="s">
        <v>78</v>
      </c>
      <c r="L39" s="2"/>
      <c r="M39" s="54">
        <v>43469</v>
      </c>
      <c r="N39" s="4">
        <v>218.34</v>
      </c>
      <c r="O39" s="54">
        <v>43521</v>
      </c>
      <c r="P39" s="4">
        <v>213.72</v>
      </c>
      <c r="Q39" s="54">
        <v>43529</v>
      </c>
      <c r="R39" s="4">
        <v>213.72</v>
      </c>
      <c r="S39" s="54">
        <v>43561</v>
      </c>
      <c r="T39" s="4">
        <v>218.31</v>
      </c>
      <c r="U39" s="54">
        <v>43590</v>
      </c>
      <c r="V39" s="4">
        <v>35.61</v>
      </c>
      <c r="W39" s="54" t="s">
        <v>181</v>
      </c>
      <c r="X39" s="4" t="s">
        <v>181</v>
      </c>
      <c r="Y39" s="54" t="s">
        <v>181</v>
      </c>
      <c r="Z39" s="47" t="s">
        <v>181</v>
      </c>
      <c r="AA39" s="54" t="s">
        <v>181</v>
      </c>
      <c r="AB39" s="47" t="s">
        <v>181</v>
      </c>
      <c r="AC39" s="3" t="s">
        <v>181</v>
      </c>
      <c r="AD39" s="4" t="s">
        <v>181</v>
      </c>
      <c r="AE39" s="3"/>
      <c r="AF39" s="4"/>
      <c r="AG39" s="3"/>
      <c r="AH39" s="4"/>
      <c r="AI39" s="3"/>
      <c r="AJ39" s="4"/>
      <c r="AM39" s="96"/>
    </row>
    <row r="40" spans="1:39" x14ac:dyDescent="0.25">
      <c r="A40" s="2" t="s">
        <v>167</v>
      </c>
      <c r="B40" s="2" t="s">
        <v>182</v>
      </c>
      <c r="C40" s="3" t="s">
        <v>181</v>
      </c>
      <c r="D40" s="3" t="s">
        <v>181</v>
      </c>
      <c r="E40" s="3" t="s">
        <v>181</v>
      </c>
      <c r="F40" s="2" t="s">
        <v>181</v>
      </c>
      <c r="G40" s="2" t="s">
        <v>181</v>
      </c>
      <c r="H40" s="4" t="s">
        <v>139</v>
      </c>
      <c r="I40" s="4" t="s">
        <v>170</v>
      </c>
      <c r="J40" s="4" t="s">
        <v>196</v>
      </c>
      <c r="K40" s="2" t="s">
        <v>78</v>
      </c>
      <c r="L40" s="2"/>
      <c r="M40" s="54">
        <v>43469</v>
      </c>
      <c r="N40" s="4">
        <v>3605.8</v>
      </c>
      <c r="O40" s="54">
        <v>43511</v>
      </c>
      <c r="P40" s="4">
        <v>3730</v>
      </c>
      <c r="Q40" s="54">
        <v>43539</v>
      </c>
      <c r="R40" s="4">
        <v>2730.48</v>
      </c>
      <c r="S40" s="54">
        <v>43560</v>
      </c>
      <c r="T40" s="4">
        <v>2769.06</v>
      </c>
      <c r="U40" s="54">
        <v>43591</v>
      </c>
      <c r="V40" s="4">
        <v>2762.78</v>
      </c>
      <c r="W40" s="54">
        <v>43629</v>
      </c>
      <c r="X40" s="4">
        <v>2767.45</v>
      </c>
      <c r="Y40" s="54">
        <v>43654</v>
      </c>
      <c r="Z40" s="47">
        <v>2983.23</v>
      </c>
      <c r="AA40" s="54">
        <v>43689</v>
      </c>
      <c r="AB40" s="47">
        <v>2983.23</v>
      </c>
      <c r="AC40" s="3">
        <v>43717</v>
      </c>
      <c r="AD40" s="4">
        <v>2983.23</v>
      </c>
      <c r="AE40" s="3">
        <v>43747</v>
      </c>
      <c r="AF40" s="4">
        <v>2259.79</v>
      </c>
      <c r="AG40" s="3">
        <v>43777</v>
      </c>
      <c r="AH40" s="4">
        <v>2178.75</v>
      </c>
      <c r="AI40" s="3">
        <v>43822</v>
      </c>
      <c r="AJ40" s="4">
        <v>2258.92</v>
      </c>
      <c r="AM40" s="96"/>
    </row>
    <row r="41" spans="1:39" x14ac:dyDescent="0.25">
      <c r="A41" s="2" t="s">
        <v>234</v>
      </c>
      <c r="B41" s="2" t="s">
        <v>200</v>
      </c>
      <c r="C41" s="3" t="s">
        <v>181</v>
      </c>
      <c r="D41" s="3" t="s">
        <v>181</v>
      </c>
      <c r="E41" s="3" t="s">
        <v>181</v>
      </c>
      <c r="F41" s="2" t="s">
        <v>181</v>
      </c>
      <c r="G41" s="2" t="s">
        <v>181</v>
      </c>
      <c r="H41" s="4">
        <v>99.9</v>
      </c>
      <c r="I41" s="4" t="s">
        <v>170</v>
      </c>
      <c r="J41" s="4" t="s">
        <v>208</v>
      </c>
      <c r="K41" s="2" t="s">
        <v>78</v>
      </c>
      <c r="L41" s="2"/>
      <c r="M41" s="54" t="s">
        <v>181</v>
      </c>
      <c r="N41" s="4" t="s">
        <v>181</v>
      </c>
      <c r="O41" s="54" t="s">
        <v>181</v>
      </c>
      <c r="P41" s="4" t="s">
        <v>181</v>
      </c>
      <c r="Q41" s="54" t="s">
        <v>181</v>
      </c>
      <c r="R41" s="4" t="s">
        <v>181</v>
      </c>
      <c r="S41" s="54" t="s">
        <v>181</v>
      </c>
      <c r="T41" s="4" t="s">
        <v>181</v>
      </c>
      <c r="U41" s="54" t="s">
        <v>181</v>
      </c>
      <c r="V41" s="4" t="s">
        <v>181</v>
      </c>
      <c r="W41" s="54">
        <v>43623</v>
      </c>
      <c r="X41" s="4">
        <v>69.92</v>
      </c>
      <c r="Y41" s="54">
        <v>43664</v>
      </c>
      <c r="Z41" s="47">
        <v>99.89</v>
      </c>
      <c r="AA41" s="54">
        <v>43685</v>
      </c>
      <c r="AB41" s="47">
        <v>99.89</v>
      </c>
      <c r="AC41" s="3">
        <v>43717</v>
      </c>
      <c r="AD41" s="4">
        <v>99.89</v>
      </c>
      <c r="AE41" s="3">
        <v>43745</v>
      </c>
      <c r="AF41" s="4">
        <v>99.89</v>
      </c>
      <c r="AG41" s="3">
        <v>43773</v>
      </c>
      <c r="AH41" s="4">
        <v>99.89</v>
      </c>
      <c r="AI41" s="3">
        <v>43822</v>
      </c>
      <c r="AJ41" s="4">
        <v>99.89</v>
      </c>
      <c r="AM41" s="96"/>
    </row>
    <row r="42" spans="1:39" hidden="1" x14ac:dyDescent="0.25">
      <c r="A42" s="2" t="s">
        <v>168</v>
      </c>
      <c r="B42" s="2" t="s">
        <v>169</v>
      </c>
      <c r="C42" s="3" t="s">
        <v>181</v>
      </c>
      <c r="D42" s="3" t="s">
        <v>181</v>
      </c>
      <c r="E42" s="3" t="s">
        <v>181</v>
      </c>
      <c r="F42" s="2" t="s">
        <v>181</v>
      </c>
      <c r="G42" s="2" t="s">
        <v>181</v>
      </c>
      <c r="H42" s="4" t="s">
        <v>139</v>
      </c>
      <c r="I42" s="4" t="s">
        <v>170</v>
      </c>
      <c r="J42" s="4" t="s">
        <v>196</v>
      </c>
      <c r="K42" s="2" t="s">
        <v>78</v>
      </c>
      <c r="L42" s="2"/>
      <c r="M42" s="54">
        <v>43474</v>
      </c>
      <c r="N42" s="4">
        <v>126.27</v>
      </c>
      <c r="O42" s="54">
        <v>43501</v>
      </c>
      <c r="P42" s="4">
        <v>124.89</v>
      </c>
      <c r="Q42" s="54">
        <v>43544</v>
      </c>
      <c r="R42" s="4">
        <v>125.46</v>
      </c>
      <c r="S42" s="54">
        <v>43578</v>
      </c>
      <c r="T42" s="4">
        <v>136.12</v>
      </c>
      <c r="U42" s="54">
        <v>43595</v>
      </c>
      <c r="V42" s="4">
        <v>105</v>
      </c>
      <c r="W42" s="54">
        <v>43628</v>
      </c>
      <c r="X42" s="4">
        <v>32.43</v>
      </c>
      <c r="Y42" s="54" t="s">
        <v>181</v>
      </c>
      <c r="Z42" s="47" t="s">
        <v>181</v>
      </c>
      <c r="AA42" s="54" t="s">
        <v>181</v>
      </c>
      <c r="AB42" s="47" t="s">
        <v>181</v>
      </c>
      <c r="AC42" s="3" t="s">
        <v>181</v>
      </c>
      <c r="AD42" s="4" t="s">
        <v>181</v>
      </c>
      <c r="AE42" s="3" t="s">
        <v>181</v>
      </c>
      <c r="AF42" s="4"/>
      <c r="AG42" s="3"/>
      <c r="AH42" s="4"/>
      <c r="AI42" s="3"/>
      <c r="AJ42" s="4"/>
    </row>
    <row r="43" spans="1:39" x14ac:dyDescent="0.25">
      <c r="A43" s="2" t="s">
        <v>233</v>
      </c>
      <c r="B43" s="2" t="s">
        <v>235</v>
      </c>
      <c r="C43" s="3" t="s">
        <v>181</v>
      </c>
      <c r="D43" s="3" t="s">
        <v>181</v>
      </c>
      <c r="E43" s="3" t="s">
        <v>181</v>
      </c>
      <c r="F43" s="2" t="s">
        <v>181</v>
      </c>
      <c r="G43" s="2" t="s">
        <v>181</v>
      </c>
      <c r="H43" s="4">
        <v>119.9</v>
      </c>
      <c r="I43" s="4" t="s">
        <v>170</v>
      </c>
      <c r="J43" s="4" t="s">
        <v>208</v>
      </c>
      <c r="K43" s="2" t="s">
        <v>78</v>
      </c>
      <c r="L43" s="2"/>
      <c r="M43" s="54" t="s">
        <v>181</v>
      </c>
      <c r="N43" s="4" t="s">
        <v>181</v>
      </c>
      <c r="O43" s="54" t="s">
        <v>181</v>
      </c>
      <c r="P43" s="4" t="s">
        <v>181</v>
      </c>
      <c r="Q43" s="54" t="s">
        <v>181</v>
      </c>
      <c r="R43" s="4" t="s">
        <v>181</v>
      </c>
      <c r="S43" s="54" t="s">
        <v>181</v>
      </c>
      <c r="T43" s="4" t="s">
        <v>181</v>
      </c>
      <c r="U43" s="54" t="s">
        <v>181</v>
      </c>
      <c r="V43" s="4" t="s">
        <v>181</v>
      </c>
      <c r="W43" s="54" t="s">
        <v>181</v>
      </c>
      <c r="X43" s="4" t="s">
        <v>181</v>
      </c>
      <c r="Y43" s="54" t="s">
        <v>181</v>
      </c>
      <c r="Z43" s="47" t="s">
        <v>181</v>
      </c>
      <c r="AA43" s="54" t="s">
        <v>181</v>
      </c>
      <c r="AB43" s="47" t="s">
        <v>181</v>
      </c>
      <c r="AC43" s="3" t="s">
        <v>181</v>
      </c>
      <c r="AD43" s="4" t="s">
        <v>181</v>
      </c>
      <c r="AE43" s="3" t="s">
        <v>181</v>
      </c>
      <c r="AF43" s="4" t="s">
        <v>181</v>
      </c>
      <c r="AG43" s="3">
        <v>43773</v>
      </c>
      <c r="AH43" s="4">
        <v>35.97</v>
      </c>
      <c r="AI43" s="3">
        <v>43822</v>
      </c>
      <c r="AJ43" s="4">
        <v>119.91</v>
      </c>
    </row>
    <row r="44" spans="1:39" s="84" customFormat="1" x14ac:dyDescent="0.25">
      <c r="A44" s="49"/>
      <c r="B44" s="2"/>
      <c r="C44" s="3"/>
      <c r="D44" s="3"/>
      <c r="E44" s="81"/>
      <c r="F44" s="49"/>
      <c r="G44" s="49"/>
      <c r="H44" s="4"/>
      <c r="I44" s="4"/>
      <c r="J44" s="4"/>
      <c r="K44" s="49" t="s">
        <v>78</v>
      </c>
      <c r="L44" s="2"/>
      <c r="M44" s="82"/>
      <c r="N44" s="83">
        <f>SUBTOTAL(9,N5:N42)</f>
        <v>20331.170000000002</v>
      </c>
      <c r="O44" s="82"/>
      <c r="P44" s="83">
        <f>SUBTOTAL(9,P5:P42)</f>
        <v>20807.060000000001</v>
      </c>
      <c r="Q44" s="82"/>
      <c r="R44" s="83">
        <f>SUBTOTAL(9,R5:R42)</f>
        <v>22030.960000000003</v>
      </c>
      <c r="S44" s="82"/>
      <c r="T44" s="83">
        <f>SUBTOTAL(9,T5:T42)</f>
        <v>22634.300000000007</v>
      </c>
      <c r="U44" s="82"/>
      <c r="V44" s="83">
        <f>SUBTOTAL(9,V5:V42)</f>
        <v>21226.600000000002</v>
      </c>
      <c r="W44" s="82"/>
      <c r="X44" s="83">
        <f>SUBTOTAL(9,X5:X42)</f>
        <v>23013.31</v>
      </c>
      <c r="Y44" s="82"/>
      <c r="Z44" s="83">
        <f>SUBTOTAL(9,Z5:Z42)</f>
        <v>23163.98</v>
      </c>
      <c r="AA44" s="82"/>
      <c r="AB44" s="83">
        <f>SUBTOTAL(9,AB5:AB42)</f>
        <v>23798.350000000002</v>
      </c>
      <c r="AC44" s="81"/>
      <c r="AD44" s="83">
        <f>SUBTOTAL(9,AD5:AD42)</f>
        <v>24055.57</v>
      </c>
      <c r="AE44" s="81"/>
      <c r="AF44" s="83">
        <f>SUBTOTAL(9,AF5:AF42)</f>
        <v>21438.93</v>
      </c>
      <c r="AG44" s="81"/>
      <c r="AH44" s="83">
        <f>SUBTOTAL(9,AH5:AH42)</f>
        <v>22153.35</v>
      </c>
      <c r="AI44" s="81"/>
      <c r="AJ44" s="83">
        <f>SUBTOTAL(9,AJ5:AJ42)</f>
        <v>21194.6</v>
      </c>
    </row>
    <row r="45" spans="1:39" x14ac:dyDescent="0.25">
      <c r="A45" s="55" t="s">
        <v>61</v>
      </c>
      <c r="B45" s="56"/>
      <c r="C45" s="56"/>
      <c r="D45" s="56"/>
      <c r="E45" s="56"/>
      <c r="F45" s="56"/>
      <c r="G45" s="56"/>
      <c r="H45" s="56"/>
      <c r="I45" s="56"/>
      <c r="J45" s="56"/>
      <c r="K45" s="56" t="s">
        <v>78</v>
      </c>
      <c r="L45" s="56"/>
      <c r="M45" s="57"/>
      <c r="N45" s="58"/>
      <c r="O45" s="57"/>
      <c r="P45" s="58"/>
      <c r="Q45" s="57"/>
      <c r="R45" s="58"/>
      <c r="S45" s="57"/>
      <c r="T45" s="58"/>
      <c r="U45" s="57"/>
      <c r="V45" s="58"/>
      <c r="W45" s="57"/>
      <c r="X45" s="58"/>
      <c r="Y45" s="57"/>
      <c r="Z45" s="58"/>
      <c r="AA45" s="57"/>
      <c r="AB45" s="58"/>
      <c r="AC45" s="57"/>
      <c r="AD45" s="58"/>
      <c r="AE45" s="57"/>
      <c r="AF45" s="58"/>
      <c r="AG45" s="57"/>
      <c r="AH45" s="58"/>
      <c r="AI45" s="57"/>
      <c r="AJ45" s="58"/>
    </row>
    <row r="46" spans="1:39" x14ac:dyDescent="0.25">
      <c r="A46" s="2" t="s">
        <v>222</v>
      </c>
      <c r="B46" s="2" t="s">
        <v>175</v>
      </c>
      <c r="C46" s="3">
        <v>43453</v>
      </c>
      <c r="D46" s="3" t="s">
        <v>181</v>
      </c>
      <c r="E46" s="3" t="s">
        <v>181</v>
      </c>
      <c r="F46" s="2" t="s">
        <v>181</v>
      </c>
      <c r="G46" s="2" t="s">
        <v>181</v>
      </c>
      <c r="H46" s="4" t="s">
        <v>181</v>
      </c>
      <c r="I46" s="4" t="s">
        <v>181</v>
      </c>
      <c r="J46" s="4" t="s">
        <v>181</v>
      </c>
      <c r="K46" s="2" t="s">
        <v>78</v>
      </c>
      <c r="L46" s="2"/>
      <c r="M46" s="54" t="s">
        <v>181</v>
      </c>
      <c r="N46" s="4" t="s">
        <v>181</v>
      </c>
      <c r="O46" s="3" t="s">
        <v>181</v>
      </c>
      <c r="P46" s="4" t="s">
        <v>181</v>
      </c>
      <c r="Q46" s="3">
        <v>43542</v>
      </c>
      <c r="R46" s="4">
        <f>15600+3900+3900</f>
        <v>23400</v>
      </c>
      <c r="S46" s="47" t="s">
        <v>181</v>
      </c>
      <c r="T46" s="47" t="s">
        <v>181</v>
      </c>
      <c r="U46" s="54">
        <v>43600</v>
      </c>
      <c r="V46" s="47">
        <v>11700</v>
      </c>
      <c r="W46" s="54" t="s">
        <v>181</v>
      </c>
      <c r="X46" s="47" t="s">
        <v>181</v>
      </c>
      <c r="Y46" s="54" t="s">
        <v>181</v>
      </c>
      <c r="Z46" s="47" t="s">
        <v>181</v>
      </c>
      <c r="AA46" s="54" t="s">
        <v>181</v>
      </c>
      <c r="AB46" s="47" t="s">
        <v>181</v>
      </c>
      <c r="AC46" s="3" t="s">
        <v>181</v>
      </c>
      <c r="AD46" s="4" t="s">
        <v>181</v>
      </c>
      <c r="AE46" s="3" t="s">
        <v>181</v>
      </c>
      <c r="AF46" s="4" t="s">
        <v>181</v>
      </c>
      <c r="AG46" s="3" t="s">
        <v>181</v>
      </c>
      <c r="AH46" s="4" t="s">
        <v>181</v>
      </c>
      <c r="AI46" s="3" t="s">
        <v>181</v>
      </c>
      <c r="AJ46" s="4" t="s">
        <v>181</v>
      </c>
      <c r="AL46" s="93"/>
    </row>
    <row r="47" spans="1:39" hidden="1" x14ac:dyDescent="0.25">
      <c r="A47" s="35" t="s">
        <v>223</v>
      </c>
      <c r="B47" s="36" t="s">
        <v>201</v>
      </c>
      <c r="C47" s="37" t="s">
        <v>181</v>
      </c>
      <c r="D47" s="37" t="s">
        <v>181</v>
      </c>
      <c r="E47" s="37" t="s">
        <v>181</v>
      </c>
      <c r="F47" s="36" t="s">
        <v>181</v>
      </c>
      <c r="G47" s="36" t="s">
        <v>181</v>
      </c>
      <c r="H47" s="38" t="s">
        <v>181</v>
      </c>
      <c r="I47" s="38" t="s">
        <v>181</v>
      </c>
      <c r="J47" s="38" t="s">
        <v>181</v>
      </c>
      <c r="K47" s="2" t="s">
        <v>78</v>
      </c>
      <c r="L47" s="36"/>
      <c r="M47" s="63" t="s">
        <v>181</v>
      </c>
      <c r="N47" s="38" t="s">
        <v>181</v>
      </c>
      <c r="O47" s="37" t="s">
        <v>181</v>
      </c>
      <c r="P47" s="38" t="s">
        <v>181</v>
      </c>
      <c r="Q47" s="37" t="s">
        <v>181</v>
      </c>
      <c r="R47" s="38" t="s">
        <v>181</v>
      </c>
      <c r="S47" s="64" t="s">
        <v>181</v>
      </c>
      <c r="T47" s="64" t="s">
        <v>181</v>
      </c>
      <c r="U47" s="63">
        <v>43601</v>
      </c>
      <c r="V47" s="64">
        <f>5500+5500</f>
        <v>11000</v>
      </c>
      <c r="W47" s="63">
        <v>43617</v>
      </c>
      <c r="X47" s="64">
        <f>5500+5500</f>
        <v>11000</v>
      </c>
      <c r="Y47" s="63">
        <v>43669</v>
      </c>
      <c r="Z47" s="64">
        <v>7000</v>
      </c>
      <c r="AA47" s="54">
        <v>43689</v>
      </c>
      <c r="AB47" s="64">
        <v>7000</v>
      </c>
      <c r="AC47" s="37">
        <v>43713</v>
      </c>
      <c r="AD47" s="38">
        <f>6500+6500</f>
        <v>13000</v>
      </c>
      <c r="AE47" s="37" t="s">
        <v>181</v>
      </c>
      <c r="AF47" s="38" t="s">
        <v>181</v>
      </c>
      <c r="AG47" s="37" t="s">
        <v>181</v>
      </c>
      <c r="AH47" s="38" t="s">
        <v>181</v>
      </c>
      <c r="AI47" s="37" t="s">
        <v>181</v>
      </c>
      <c r="AJ47" s="65" t="s">
        <v>181</v>
      </c>
    </row>
    <row r="48" spans="1:39" x14ac:dyDescent="0.25">
      <c r="A48" s="35" t="s">
        <v>237</v>
      </c>
      <c r="B48" s="36"/>
      <c r="C48" s="37" t="s">
        <v>181</v>
      </c>
      <c r="D48" s="37" t="s">
        <v>181</v>
      </c>
      <c r="E48" s="37" t="s">
        <v>181</v>
      </c>
      <c r="F48" s="36" t="s">
        <v>181</v>
      </c>
      <c r="G48" s="36" t="s">
        <v>181</v>
      </c>
      <c r="H48" s="38" t="s">
        <v>181</v>
      </c>
      <c r="I48" s="38" t="s">
        <v>181</v>
      </c>
      <c r="J48" s="38" t="s">
        <v>181</v>
      </c>
      <c r="K48" s="2" t="s">
        <v>78</v>
      </c>
      <c r="L48" s="36"/>
      <c r="M48" s="63" t="s">
        <v>181</v>
      </c>
      <c r="N48" s="38" t="s">
        <v>181</v>
      </c>
      <c r="O48" s="37" t="s">
        <v>181</v>
      </c>
      <c r="P48" s="38" t="s">
        <v>181</v>
      </c>
      <c r="Q48" s="37" t="s">
        <v>181</v>
      </c>
      <c r="R48" s="38" t="s">
        <v>181</v>
      </c>
      <c r="S48" s="64" t="s">
        <v>181</v>
      </c>
      <c r="T48" s="64" t="s">
        <v>181</v>
      </c>
      <c r="U48" s="63" t="s">
        <v>181</v>
      </c>
      <c r="V48" s="64" t="s">
        <v>181</v>
      </c>
      <c r="W48" s="63" t="s">
        <v>181</v>
      </c>
      <c r="X48" s="64" t="s">
        <v>181</v>
      </c>
      <c r="Y48" s="63" t="s">
        <v>181</v>
      </c>
      <c r="Z48" s="64" t="s">
        <v>181</v>
      </c>
      <c r="AA48" s="54" t="s">
        <v>181</v>
      </c>
      <c r="AB48" s="64" t="s">
        <v>181</v>
      </c>
      <c r="AC48" s="37" t="s">
        <v>181</v>
      </c>
      <c r="AD48" s="38" t="s">
        <v>181</v>
      </c>
      <c r="AE48" s="37">
        <v>43763</v>
      </c>
      <c r="AF48" s="38">
        <v>12900</v>
      </c>
      <c r="AG48" s="37">
        <v>43781</v>
      </c>
      <c r="AH48" s="38">
        <v>12900</v>
      </c>
      <c r="AI48" s="37"/>
      <c r="AJ48" s="65"/>
    </row>
    <row r="49" spans="1:41" x14ac:dyDescent="0.25">
      <c r="A49" s="35" t="s">
        <v>240</v>
      </c>
      <c r="B49" s="36"/>
      <c r="C49" s="37"/>
      <c r="D49" s="37"/>
      <c r="E49" s="37"/>
      <c r="F49" s="36" t="s">
        <v>181</v>
      </c>
      <c r="G49" s="36" t="s">
        <v>181</v>
      </c>
      <c r="H49" s="38"/>
      <c r="I49" s="38"/>
      <c r="J49" s="38"/>
      <c r="K49" s="2"/>
      <c r="L49" s="36"/>
      <c r="M49" s="63"/>
      <c r="N49" s="38"/>
      <c r="O49" s="37"/>
      <c r="P49" s="38"/>
      <c r="Q49" s="37"/>
      <c r="R49" s="38"/>
      <c r="S49" s="64"/>
      <c r="T49" s="64"/>
      <c r="U49" s="63"/>
      <c r="V49" s="64"/>
      <c r="W49" s="63"/>
      <c r="X49" s="64"/>
      <c r="Y49" s="63"/>
      <c r="Z49" s="64"/>
      <c r="AA49" s="54" t="s">
        <v>181</v>
      </c>
      <c r="AB49" s="64" t="s">
        <v>181</v>
      </c>
      <c r="AC49" s="37" t="s">
        <v>181</v>
      </c>
      <c r="AD49" s="38" t="s">
        <v>181</v>
      </c>
      <c r="AE49" s="37" t="s">
        <v>181</v>
      </c>
      <c r="AF49" s="38" t="s">
        <v>181</v>
      </c>
      <c r="AG49" s="37">
        <v>43770</v>
      </c>
      <c r="AH49" s="38">
        <f>41325+8111.6+1827</f>
        <v>51263.6</v>
      </c>
      <c r="AI49" s="37"/>
      <c r="AJ49" s="65"/>
    </row>
    <row r="50" spans="1:41" x14ac:dyDescent="0.25">
      <c r="A50" s="35" t="s">
        <v>238</v>
      </c>
      <c r="B50" s="36"/>
      <c r="C50" s="37" t="s">
        <v>181</v>
      </c>
      <c r="D50" s="37" t="s">
        <v>181</v>
      </c>
      <c r="E50" s="37" t="s">
        <v>181</v>
      </c>
      <c r="F50" s="36" t="s">
        <v>181</v>
      </c>
      <c r="G50" s="36" t="s">
        <v>181</v>
      </c>
      <c r="H50" s="38" t="s">
        <v>181</v>
      </c>
      <c r="I50" s="38" t="s">
        <v>181</v>
      </c>
      <c r="J50" s="38" t="s">
        <v>181</v>
      </c>
      <c r="K50" s="2" t="s">
        <v>78</v>
      </c>
      <c r="L50" s="36"/>
      <c r="M50" s="63" t="s">
        <v>181</v>
      </c>
      <c r="N50" s="38" t="s">
        <v>181</v>
      </c>
      <c r="O50" s="37" t="s">
        <v>181</v>
      </c>
      <c r="P50" s="38" t="s">
        <v>181</v>
      </c>
      <c r="Q50" s="37" t="s">
        <v>181</v>
      </c>
      <c r="R50" s="38" t="s">
        <v>181</v>
      </c>
      <c r="S50" s="64" t="s">
        <v>181</v>
      </c>
      <c r="T50" s="64" t="s">
        <v>181</v>
      </c>
      <c r="U50" s="63" t="s">
        <v>181</v>
      </c>
      <c r="V50" s="64" t="s">
        <v>181</v>
      </c>
      <c r="W50" s="63" t="s">
        <v>181</v>
      </c>
      <c r="X50" s="64" t="s">
        <v>181</v>
      </c>
      <c r="Y50" s="63" t="s">
        <v>181</v>
      </c>
      <c r="Z50" s="64" t="s">
        <v>181</v>
      </c>
      <c r="AA50" s="54" t="s">
        <v>181</v>
      </c>
      <c r="AB50" s="64" t="s">
        <v>181</v>
      </c>
      <c r="AC50" s="37" t="s">
        <v>181</v>
      </c>
      <c r="AD50" s="38" t="s">
        <v>181</v>
      </c>
      <c r="AE50" s="37">
        <v>43767</v>
      </c>
      <c r="AF50" s="38">
        <v>11334</v>
      </c>
      <c r="AG50" s="37" t="s">
        <v>181</v>
      </c>
      <c r="AH50" s="38" t="s">
        <v>181</v>
      </c>
      <c r="AI50" s="37"/>
      <c r="AJ50" s="65"/>
    </row>
    <row r="51" spans="1:41" x14ac:dyDescent="0.25">
      <c r="A51" s="35" t="s">
        <v>224</v>
      </c>
      <c r="B51" s="36" t="s">
        <v>202</v>
      </c>
      <c r="C51" s="37" t="s">
        <v>181</v>
      </c>
      <c r="D51" s="37" t="s">
        <v>181</v>
      </c>
      <c r="E51" s="37" t="s">
        <v>181</v>
      </c>
      <c r="F51" s="36" t="s">
        <v>181</v>
      </c>
      <c r="G51" s="36" t="s">
        <v>181</v>
      </c>
      <c r="H51" s="38" t="s">
        <v>181</v>
      </c>
      <c r="I51" s="38" t="s">
        <v>181</v>
      </c>
      <c r="J51" s="38" t="s">
        <v>181</v>
      </c>
      <c r="K51" s="2" t="s">
        <v>78</v>
      </c>
      <c r="L51" s="36"/>
      <c r="M51" s="63" t="s">
        <v>181</v>
      </c>
      <c r="N51" s="38" t="s">
        <v>181</v>
      </c>
      <c r="O51" s="37" t="s">
        <v>181</v>
      </c>
      <c r="P51" s="38" t="s">
        <v>181</v>
      </c>
      <c r="Q51" s="37" t="s">
        <v>181</v>
      </c>
      <c r="R51" s="38" t="s">
        <v>181</v>
      </c>
      <c r="S51" s="64" t="s">
        <v>181</v>
      </c>
      <c r="T51" s="64" t="s">
        <v>181</v>
      </c>
      <c r="U51" s="63">
        <v>43601</v>
      </c>
      <c r="V51" s="64">
        <v>2070</v>
      </c>
      <c r="W51" s="63" t="s">
        <v>181</v>
      </c>
      <c r="X51" s="64" t="s">
        <v>181</v>
      </c>
      <c r="Y51" s="63" t="s">
        <v>181</v>
      </c>
      <c r="Z51" s="64" t="s">
        <v>181</v>
      </c>
      <c r="AA51" s="54" t="s">
        <v>181</v>
      </c>
      <c r="AB51" s="64" t="s">
        <v>181</v>
      </c>
      <c r="AC51" s="37" t="s">
        <v>181</v>
      </c>
      <c r="AD51" s="38" t="s">
        <v>181</v>
      </c>
      <c r="AE51" s="37" t="s">
        <v>181</v>
      </c>
      <c r="AF51" s="38" t="s">
        <v>181</v>
      </c>
      <c r="AG51" s="37" t="s">
        <v>181</v>
      </c>
      <c r="AH51" s="38" t="s">
        <v>181</v>
      </c>
      <c r="AI51" s="37" t="s">
        <v>181</v>
      </c>
      <c r="AJ51" s="65" t="s">
        <v>181</v>
      </c>
    </row>
    <row r="52" spans="1:41" hidden="1" x14ac:dyDescent="0.25">
      <c r="A52" s="35" t="s">
        <v>225</v>
      </c>
      <c r="B52" s="36" t="s">
        <v>203</v>
      </c>
      <c r="C52" s="37" t="s">
        <v>181</v>
      </c>
      <c r="D52" s="37" t="s">
        <v>181</v>
      </c>
      <c r="E52" s="37" t="s">
        <v>181</v>
      </c>
      <c r="F52" s="36" t="s">
        <v>181</v>
      </c>
      <c r="G52" s="36" t="s">
        <v>181</v>
      </c>
      <c r="H52" s="38" t="s">
        <v>181</v>
      </c>
      <c r="I52" s="38" t="s">
        <v>181</v>
      </c>
      <c r="J52" s="38" t="s">
        <v>181</v>
      </c>
      <c r="K52" s="2" t="s">
        <v>78</v>
      </c>
      <c r="L52" s="36"/>
      <c r="M52" s="63" t="s">
        <v>181</v>
      </c>
      <c r="N52" s="38" t="s">
        <v>181</v>
      </c>
      <c r="O52" s="37" t="s">
        <v>181</v>
      </c>
      <c r="P52" s="38" t="s">
        <v>181</v>
      </c>
      <c r="Q52" s="37" t="s">
        <v>181</v>
      </c>
      <c r="R52" s="38" t="s">
        <v>181</v>
      </c>
      <c r="S52" s="64" t="s">
        <v>181</v>
      </c>
      <c r="T52" s="64" t="s">
        <v>181</v>
      </c>
      <c r="U52" s="63" t="s">
        <v>181</v>
      </c>
      <c r="V52" s="64" t="s">
        <v>181</v>
      </c>
      <c r="W52" s="63">
        <v>43619</v>
      </c>
      <c r="X52" s="64">
        <v>9870</v>
      </c>
      <c r="Y52" s="63" t="s">
        <v>181</v>
      </c>
      <c r="Z52" s="64" t="s">
        <v>181</v>
      </c>
      <c r="AA52" s="54">
        <v>43684</v>
      </c>
      <c r="AB52" s="64">
        <f>11515+11515</f>
        <v>23030</v>
      </c>
      <c r="AC52" s="37"/>
      <c r="AD52" s="38"/>
      <c r="AE52" s="37"/>
      <c r="AF52" s="38"/>
      <c r="AG52" s="37" t="s">
        <v>181</v>
      </c>
      <c r="AH52" s="38" t="s">
        <v>181</v>
      </c>
      <c r="AI52" s="37" t="s">
        <v>181</v>
      </c>
      <c r="AJ52" s="65" t="s">
        <v>181</v>
      </c>
    </row>
    <row r="53" spans="1:41" x14ac:dyDescent="0.25">
      <c r="A53" s="35" t="s">
        <v>219</v>
      </c>
      <c r="B53" s="36" t="s">
        <v>204</v>
      </c>
      <c r="C53" s="37" t="s">
        <v>181</v>
      </c>
      <c r="D53" s="37" t="s">
        <v>181</v>
      </c>
      <c r="E53" s="37" t="s">
        <v>181</v>
      </c>
      <c r="F53" s="36" t="s">
        <v>181</v>
      </c>
      <c r="G53" s="36" t="s">
        <v>181</v>
      </c>
      <c r="H53" s="38" t="s">
        <v>181</v>
      </c>
      <c r="I53" s="38" t="s">
        <v>181</v>
      </c>
      <c r="J53" s="38" t="s">
        <v>181</v>
      </c>
      <c r="K53" s="2" t="s">
        <v>78</v>
      </c>
      <c r="L53" s="36"/>
      <c r="M53" s="63" t="s">
        <v>181</v>
      </c>
      <c r="N53" s="38" t="s">
        <v>181</v>
      </c>
      <c r="O53" s="37" t="s">
        <v>181</v>
      </c>
      <c r="P53" s="38" t="s">
        <v>181</v>
      </c>
      <c r="Q53" s="37" t="s">
        <v>181</v>
      </c>
      <c r="R53" s="38" t="s">
        <v>181</v>
      </c>
      <c r="S53" s="64" t="s">
        <v>181</v>
      </c>
      <c r="T53" s="64" t="s">
        <v>181</v>
      </c>
      <c r="U53" s="63" t="s">
        <v>181</v>
      </c>
      <c r="V53" s="64" t="s">
        <v>181</v>
      </c>
      <c r="W53" s="63">
        <v>43619</v>
      </c>
      <c r="X53" s="64">
        <v>6000</v>
      </c>
      <c r="Y53" s="63" t="s">
        <v>181</v>
      </c>
      <c r="Z53" s="64" t="s">
        <v>181</v>
      </c>
      <c r="AA53" s="54" t="s">
        <v>181</v>
      </c>
      <c r="AB53" s="64" t="s">
        <v>181</v>
      </c>
      <c r="AC53" s="37" t="s">
        <v>181</v>
      </c>
      <c r="AD53" s="38" t="s">
        <v>181</v>
      </c>
      <c r="AE53" s="37" t="s">
        <v>181</v>
      </c>
      <c r="AF53" s="38" t="s">
        <v>181</v>
      </c>
      <c r="AG53" s="37" t="s">
        <v>181</v>
      </c>
      <c r="AH53" s="38" t="s">
        <v>181</v>
      </c>
      <c r="AI53" s="37">
        <v>43811</v>
      </c>
      <c r="AJ53" s="65">
        <v>24000</v>
      </c>
    </row>
    <row r="54" spans="1:41" hidden="1" x14ac:dyDescent="0.25">
      <c r="A54" s="35" t="s">
        <v>220</v>
      </c>
      <c r="B54" s="36"/>
      <c r="C54" s="37" t="s">
        <v>181</v>
      </c>
      <c r="D54" s="37" t="s">
        <v>181</v>
      </c>
      <c r="E54" s="37" t="s">
        <v>181</v>
      </c>
      <c r="F54" s="36" t="s">
        <v>181</v>
      </c>
      <c r="G54" s="36" t="s">
        <v>181</v>
      </c>
      <c r="H54" s="38" t="s">
        <v>181</v>
      </c>
      <c r="I54" s="38" t="s">
        <v>181</v>
      </c>
      <c r="J54" s="38" t="s">
        <v>181</v>
      </c>
      <c r="K54" s="2" t="s">
        <v>78</v>
      </c>
      <c r="L54" s="36"/>
      <c r="M54" s="63" t="s">
        <v>181</v>
      </c>
      <c r="N54" s="38" t="s">
        <v>181</v>
      </c>
      <c r="O54" s="37" t="s">
        <v>181</v>
      </c>
      <c r="P54" s="38" t="s">
        <v>181</v>
      </c>
      <c r="Q54" s="37" t="s">
        <v>181</v>
      </c>
      <c r="R54" s="38" t="s">
        <v>181</v>
      </c>
      <c r="S54" s="64" t="s">
        <v>181</v>
      </c>
      <c r="T54" s="64" t="s">
        <v>181</v>
      </c>
      <c r="U54" s="63" t="s">
        <v>181</v>
      </c>
      <c r="V54" s="64" t="s">
        <v>181</v>
      </c>
      <c r="W54" s="63" t="s">
        <v>181</v>
      </c>
      <c r="X54" s="64" t="s">
        <v>181</v>
      </c>
      <c r="Y54" s="63">
        <v>43676</v>
      </c>
      <c r="Z54" s="64">
        <v>4000</v>
      </c>
      <c r="AA54" s="54" t="s">
        <v>181</v>
      </c>
      <c r="AB54" s="64" t="s">
        <v>181</v>
      </c>
      <c r="AC54" s="37"/>
      <c r="AD54" s="38"/>
      <c r="AE54" s="37"/>
      <c r="AF54" s="38"/>
      <c r="AG54" s="37"/>
      <c r="AH54" s="38"/>
      <c r="AI54" s="37"/>
      <c r="AJ54" s="65"/>
    </row>
    <row r="55" spans="1:41" hidden="1" x14ac:dyDescent="0.25">
      <c r="A55" s="35" t="s">
        <v>226</v>
      </c>
      <c r="B55" s="36" t="s">
        <v>205</v>
      </c>
      <c r="C55" s="37" t="s">
        <v>181</v>
      </c>
      <c r="D55" s="37" t="s">
        <v>181</v>
      </c>
      <c r="E55" s="37" t="s">
        <v>181</v>
      </c>
      <c r="F55" s="36" t="s">
        <v>181</v>
      </c>
      <c r="G55" s="36" t="s">
        <v>181</v>
      </c>
      <c r="H55" s="38" t="s">
        <v>181</v>
      </c>
      <c r="I55" s="38" t="s">
        <v>181</v>
      </c>
      <c r="J55" s="38" t="s">
        <v>181</v>
      </c>
      <c r="K55" s="2" t="s">
        <v>78</v>
      </c>
      <c r="L55" s="36"/>
      <c r="M55" s="63" t="s">
        <v>181</v>
      </c>
      <c r="N55" s="38" t="s">
        <v>181</v>
      </c>
      <c r="O55" s="37" t="s">
        <v>181</v>
      </c>
      <c r="P55" s="38" t="s">
        <v>181</v>
      </c>
      <c r="Q55" s="37" t="s">
        <v>181</v>
      </c>
      <c r="R55" s="38" t="s">
        <v>181</v>
      </c>
      <c r="S55" s="64" t="s">
        <v>181</v>
      </c>
      <c r="T55" s="64" t="s">
        <v>181</v>
      </c>
      <c r="U55" s="63" t="s">
        <v>181</v>
      </c>
      <c r="V55" s="64" t="s">
        <v>181</v>
      </c>
      <c r="W55" s="63" t="s">
        <v>181</v>
      </c>
      <c r="X55" s="64" t="s">
        <v>181</v>
      </c>
      <c r="Y55" s="63">
        <v>43665</v>
      </c>
      <c r="Z55" s="64">
        <f>20250+27000</f>
        <v>47250</v>
      </c>
      <c r="AA55" s="54">
        <v>43703</v>
      </c>
      <c r="AB55" s="64">
        <f>60750+27000</f>
        <v>87750</v>
      </c>
      <c r="AC55" s="37"/>
      <c r="AD55" s="38"/>
      <c r="AE55" s="37"/>
      <c r="AF55" s="38"/>
      <c r="AG55" s="37"/>
      <c r="AH55" s="38"/>
      <c r="AI55" s="37"/>
      <c r="AJ55" s="65"/>
    </row>
    <row r="56" spans="1:41" x14ac:dyDescent="0.25">
      <c r="A56" s="35" t="s">
        <v>236</v>
      </c>
      <c r="B56" s="36"/>
      <c r="C56" s="37" t="s">
        <v>181</v>
      </c>
      <c r="D56" s="37" t="s">
        <v>181</v>
      </c>
      <c r="E56" s="37" t="s">
        <v>181</v>
      </c>
      <c r="F56" s="36" t="s">
        <v>181</v>
      </c>
      <c r="G56" s="36" t="s">
        <v>181</v>
      </c>
      <c r="H56" s="38" t="s">
        <v>181</v>
      </c>
      <c r="I56" s="38" t="s">
        <v>181</v>
      </c>
      <c r="J56" s="38" t="s">
        <v>181</v>
      </c>
      <c r="K56" s="2" t="s">
        <v>78</v>
      </c>
      <c r="L56" s="36"/>
      <c r="M56" s="63" t="s">
        <v>181</v>
      </c>
      <c r="N56" s="38" t="s">
        <v>181</v>
      </c>
      <c r="O56" s="37" t="s">
        <v>181</v>
      </c>
      <c r="P56" s="38" t="s">
        <v>181</v>
      </c>
      <c r="Q56" s="37" t="s">
        <v>181</v>
      </c>
      <c r="R56" s="38" t="s">
        <v>181</v>
      </c>
      <c r="S56" s="64" t="s">
        <v>181</v>
      </c>
      <c r="T56" s="64" t="s">
        <v>181</v>
      </c>
      <c r="U56" s="63" t="s">
        <v>181</v>
      </c>
      <c r="V56" s="64" t="s">
        <v>181</v>
      </c>
      <c r="W56" s="63" t="s">
        <v>181</v>
      </c>
      <c r="X56" s="64" t="s">
        <v>181</v>
      </c>
      <c r="Y56" s="63" t="s">
        <v>181</v>
      </c>
      <c r="Z56" s="64" t="s">
        <v>181</v>
      </c>
      <c r="AA56" s="54" t="s">
        <v>181</v>
      </c>
      <c r="AB56" s="64" t="s">
        <v>181</v>
      </c>
      <c r="AC56" s="37">
        <v>43732</v>
      </c>
      <c r="AD56" s="38">
        <v>26000</v>
      </c>
      <c r="AE56" s="37">
        <v>43749</v>
      </c>
      <c r="AF56" s="38">
        <v>39000</v>
      </c>
      <c r="AG56" s="37">
        <v>43782</v>
      </c>
      <c r="AH56" s="38">
        <f>45500+19500</f>
        <v>65000</v>
      </c>
      <c r="AI56" s="37" t="s">
        <v>181</v>
      </c>
      <c r="AJ56" s="65" t="s">
        <v>181</v>
      </c>
    </row>
    <row r="57" spans="1:41" hidden="1" x14ac:dyDescent="0.25">
      <c r="A57" s="35" t="s">
        <v>227</v>
      </c>
      <c r="B57" s="36" t="s">
        <v>206</v>
      </c>
      <c r="C57" s="37" t="s">
        <v>181</v>
      </c>
      <c r="D57" s="37" t="s">
        <v>181</v>
      </c>
      <c r="E57" s="37" t="s">
        <v>181</v>
      </c>
      <c r="F57" s="36" t="s">
        <v>181</v>
      </c>
      <c r="G57" s="36" t="s">
        <v>181</v>
      </c>
      <c r="H57" s="38" t="s">
        <v>181</v>
      </c>
      <c r="I57" s="38" t="s">
        <v>181</v>
      </c>
      <c r="J57" s="38" t="s">
        <v>181</v>
      </c>
      <c r="K57" s="2" t="s">
        <v>78</v>
      </c>
      <c r="L57" s="36"/>
      <c r="M57" s="63" t="s">
        <v>181</v>
      </c>
      <c r="N57" s="38" t="s">
        <v>181</v>
      </c>
      <c r="O57" s="37" t="s">
        <v>181</v>
      </c>
      <c r="P57" s="38" t="s">
        <v>181</v>
      </c>
      <c r="Q57" s="37" t="s">
        <v>181</v>
      </c>
      <c r="R57" s="38" t="s">
        <v>181</v>
      </c>
      <c r="S57" s="64" t="s">
        <v>181</v>
      </c>
      <c r="T57" s="64" t="s">
        <v>181</v>
      </c>
      <c r="U57" s="63" t="s">
        <v>181</v>
      </c>
      <c r="V57" s="64" t="s">
        <v>181</v>
      </c>
      <c r="W57" s="63">
        <v>43643</v>
      </c>
      <c r="X57" s="64">
        <v>29714.3</v>
      </c>
      <c r="Y57" s="63" t="s">
        <v>181</v>
      </c>
      <c r="Z57" s="64" t="s">
        <v>181</v>
      </c>
      <c r="AA57" s="54">
        <v>43703</v>
      </c>
      <c r="AB57" s="64">
        <v>55183.7</v>
      </c>
      <c r="AC57" s="37"/>
      <c r="AD57" s="38"/>
      <c r="AE57" s="37"/>
      <c r="AF57" s="38"/>
      <c r="AG57" s="37"/>
      <c r="AH57" s="38"/>
      <c r="AI57" s="37"/>
      <c r="AJ57" s="65"/>
    </row>
    <row r="58" spans="1:41" hidden="1" x14ac:dyDescent="0.25">
      <c r="A58" s="35" t="s">
        <v>239</v>
      </c>
      <c r="B58" s="36"/>
      <c r="C58" s="37" t="s">
        <v>181</v>
      </c>
      <c r="D58" s="37" t="s">
        <v>181</v>
      </c>
      <c r="E58" s="37" t="s">
        <v>181</v>
      </c>
      <c r="F58" s="36" t="s">
        <v>181</v>
      </c>
      <c r="G58" s="36" t="s">
        <v>181</v>
      </c>
      <c r="H58" s="38" t="s">
        <v>181</v>
      </c>
      <c r="I58" s="38" t="s">
        <v>181</v>
      </c>
      <c r="J58" s="38" t="s">
        <v>181</v>
      </c>
      <c r="K58" s="2" t="s">
        <v>78</v>
      </c>
      <c r="L58" s="36"/>
      <c r="M58" s="63"/>
      <c r="N58" s="38"/>
      <c r="O58" s="37"/>
      <c r="P58" s="38"/>
      <c r="Q58" s="37"/>
      <c r="R58" s="38"/>
      <c r="S58" s="64"/>
      <c r="T58" s="64"/>
      <c r="U58" s="63"/>
      <c r="V58" s="64"/>
      <c r="W58" s="63"/>
      <c r="X58" s="64"/>
      <c r="Y58" s="63"/>
      <c r="Z58" s="64"/>
      <c r="AA58" s="54"/>
      <c r="AB58" s="64"/>
      <c r="AC58" s="37">
        <v>43728</v>
      </c>
      <c r="AD58" s="38">
        <v>8775</v>
      </c>
      <c r="AE58" s="37">
        <v>43748</v>
      </c>
      <c r="AF58" s="38">
        <v>8775</v>
      </c>
      <c r="AG58" s="37"/>
      <c r="AH58" s="38"/>
      <c r="AI58" s="37"/>
      <c r="AJ58" s="65"/>
    </row>
    <row r="59" spans="1:41" hidden="1" x14ac:dyDescent="0.25">
      <c r="A59" s="35" t="s">
        <v>228</v>
      </c>
      <c r="B59" s="36" t="s">
        <v>207</v>
      </c>
      <c r="C59" s="37" t="s">
        <v>181</v>
      </c>
      <c r="D59" s="37" t="s">
        <v>181</v>
      </c>
      <c r="E59" s="37" t="s">
        <v>181</v>
      </c>
      <c r="F59" s="36" t="s">
        <v>181</v>
      </c>
      <c r="G59" s="36" t="s">
        <v>181</v>
      </c>
      <c r="H59" s="38" t="s">
        <v>181</v>
      </c>
      <c r="I59" s="38" t="s">
        <v>181</v>
      </c>
      <c r="J59" s="38" t="s">
        <v>181</v>
      </c>
      <c r="K59" s="2" t="s">
        <v>78</v>
      </c>
      <c r="L59" s="36"/>
      <c r="M59" s="63" t="s">
        <v>181</v>
      </c>
      <c r="N59" s="38" t="s">
        <v>181</v>
      </c>
      <c r="O59" s="37" t="s">
        <v>181</v>
      </c>
      <c r="P59" s="38" t="s">
        <v>181</v>
      </c>
      <c r="Q59" s="37" t="s">
        <v>181</v>
      </c>
      <c r="R59" s="38" t="s">
        <v>181</v>
      </c>
      <c r="S59" s="64" t="s">
        <v>181</v>
      </c>
      <c r="T59" s="64" t="s">
        <v>181</v>
      </c>
      <c r="U59" s="63" t="s">
        <v>181</v>
      </c>
      <c r="V59" s="64" t="s">
        <v>181</v>
      </c>
      <c r="W59" s="63" t="s">
        <v>181</v>
      </c>
      <c r="X59" s="64" t="s">
        <v>181</v>
      </c>
      <c r="Y59" s="63">
        <v>43647</v>
      </c>
      <c r="Z59" s="64" t="s">
        <v>229</v>
      </c>
      <c r="AA59" s="54"/>
      <c r="AB59" s="64"/>
      <c r="AC59" s="37"/>
      <c r="AD59" s="38"/>
      <c r="AE59" s="37"/>
      <c r="AF59" s="38"/>
      <c r="AG59" s="37"/>
      <c r="AH59" s="38"/>
      <c r="AI59" s="37"/>
      <c r="AJ59" s="65"/>
    </row>
    <row r="60" spans="1:41" x14ac:dyDescent="0.25">
      <c r="A60" s="35" t="s">
        <v>221</v>
      </c>
      <c r="B60" s="36"/>
      <c r="C60" s="37" t="s">
        <v>181</v>
      </c>
      <c r="D60" s="37" t="s">
        <v>181</v>
      </c>
      <c r="E60" s="37" t="s">
        <v>181</v>
      </c>
      <c r="F60" s="36" t="s">
        <v>181</v>
      </c>
      <c r="G60" s="36" t="s">
        <v>181</v>
      </c>
      <c r="H60" s="38" t="s">
        <v>181</v>
      </c>
      <c r="I60" s="38" t="s">
        <v>181</v>
      </c>
      <c r="J60" s="38" t="s">
        <v>181</v>
      </c>
      <c r="K60" s="2" t="s">
        <v>78</v>
      </c>
      <c r="L60" s="36"/>
      <c r="M60" s="63" t="s">
        <v>181</v>
      </c>
      <c r="N60" s="38" t="s">
        <v>181</v>
      </c>
      <c r="O60" s="37" t="s">
        <v>181</v>
      </c>
      <c r="P60" s="38" t="s">
        <v>181</v>
      </c>
      <c r="Q60" s="37" t="s">
        <v>181</v>
      </c>
      <c r="R60" s="38" t="s">
        <v>181</v>
      </c>
      <c r="S60" s="64" t="s">
        <v>181</v>
      </c>
      <c r="T60" s="64" t="s">
        <v>181</v>
      </c>
      <c r="U60" s="63" t="s">
        <v>181</v>
      </c>
      <c r="V60" s="64" t="s">
        <v>181</v>
      </c>
      <c r="W60" s="63">
        <v>43636</v>
      </c>
      <c r="X60" s="64">
        <v>9996.5</v>
      </c>
      <c r="Y60" s="63" t="s">
        <v>181</v>
      </c>
      <c r="Z60" s="64" t="s">
        <v>181</v>
      </c>
      <c r="AA60" s="54" t="s">
        <v>181</v>
      </c>
      <c r="AB60" s="64" t="s">
        <v>181</v>
      </c>
      <c r="AC60" s="37" t="s">
        <v>181</v>
      </c>
      <c r="AD60" s="38" t="s">
        <v>181</v>
      </c>
      <c r="AE60" s="37" t="s">
        <v>181</v>
      </c>
      <c r="AF60" s="38" t="s">
        <v>181</v>
      </c>
      <c r="AG60" s="37" t="s">
        <v>181</v>
      </c>
      <c r="AH60" s="38" t="s">
        <v>181</v>
      </c>
      <c r="AI60" s="37" t="s">
        <v>181</v>
      </c>
      <c r="AJ60" s="65" t="s">
        <v>181</v>
      </c>
    </row>
    <row r="61" spans="1:41" s="84" customFormat="1" x14ac:dyDescent="0.25">
      <c r="A61" s="85"/>
      <c r="B61" s="36"/>
      <c r="C61" s="37"/>
      <c r="D61" s="37"/>
      <c r="E61" s="86"/>
      <c r="F61" s="87"/>
      <c r="G61" s="87"/>
      <c r="H61" s="38"/>
      <c r="I61" s="38"/>
      <c r="J61" s="38"/>
      <c r="K61" s="2"/>
      <c r="L61" s="36"/>
      <c r="M61" s="88"/>
      <c r="N61" s="89">
        <f>SUBTOTAL(9,N46:N60)</f>
        <v>0</v>
      </c>
      <c r="O61" s="86"/>
      <c r="P61" s="89">
        <f>SUBTOTAL(9,P46:P60)</f>
        <v>0</v>
      </c>
      <c r="Q61" s="86"/>
      <c r="R61" s="89">
        <f>SUBTOTAL(9,R46:R60)</f>
        <v>23400</v>
      </c>
      <c r="S61" s="90"/>
      <c r="T61" s="89">
        <f>SUBTOTAL(9,T46:T60)</f>
        <v>0</v>
      </c>
      <c r="U61" s="88"/>
      <c r="V61" s="89">
        <f>SUBTOTAL(9,V46:V60)</f>
        <v>13770</v>
      </c>
      <c r="W61" s="88"/>
      <c r="X61" s="89">
        <f>SUBTOTAL(9,X46:X60)</f>
        <v>15996.5</v>
      </c>
      <c r="Y61" s="88"/>
      <c r="Z61" s="89">
        <f>SUBTOTAL(9,Z46:Z60)</f>
        <v>0</v>
      </c>
      <c r="AA61" s="82"/>
      <c r="AB61" s="89">
        <f>SUBTOTAL(9,AB46:AB60)</f>
        <v>0</v>
      </c>
      <c r="AC61" s="86"/>
      <c r="AD61" s="89">
        <f>SUBTOTAL(9,AD46:AD60)</f>
        <v>26000</v>
      </c>
      <c r="AE61" s="86"/>
      <c r="AF61" s="89">
        <f>SUBTOTAL(9,AF46:AF60)</f>
        <v>63234</v>
      </c>
      <c r="AG61" s="86"/>
      <c r="AH61" s="89">
        <f>SUBTOTAL(9,AH46:AH60)</f>
        <v>129163.6</v>
      </c>
      <c r="AI61" s="86"/>
      <c r="AJ61" s="89">
        <f>SUBTOTAL(9,AJ46:AJ60)</f>
        <v>24000</v>
      </c>
    </row>
    <row r="62" spans="1:41" x14ac:dyDescent="0.25">
      <c r="A62" s="35" t="s">
        <v>152</v>
      </c>
      <c r="B62" s="36"/>
      <c r="C62" s="37"/>
      <c r="D62" s="37"/>
      <c r="E62" s="37"/>
      <c r="F62" s="36"/>
      <c r="G62" s="36"/>
      <c r="H62" s="94"/>
      <c r="I62" s="94"/>
      <c r="J62" s="94"/>
      <c r="K62" s="36"/>
      <c r="L62" s="36"/>
      <c r="M62" s="37"/>
      <c r="N62" s="94">
        <f>SUBTOTAL(9,N5:N61)</f>
        <v>20331.170000000002</v>
      </c>
      <c r="O62" s="37"/>
      <c r="P62" s="94">
        <f>SUBTOTAL(9,P5:P61)</f>
        <v>20807.060000000001</v>
      </c>
      <c r="Q62" s="37"/>
      <c r="R62" s="94">
        <f>SUBTOTAL(9,R5:R61)</f>
        <v>45430.960000000006</v>
      </c>
      <c r="S62" s="37"/>
      <c r="T62" s="94">
        <f>SUBTOTAL(9,T5:T61)</f>
        <v>22634.300000000007</v>
      </c>
      <c r="U62" s="37"/>
      <c r="V62" s="94">
        <f>SUBTOTAL(9,V5:V61)</f>
        <v>34996.600000000006</v>
      </c>
      <c r="W62" s="37"/>
      <c r="X62" s="94">
        <f>SUBTOTAL(109,Tabela1456[Valor8])</f>
        <v>39009.81</v>
      </c>
      <c r="Y62" s="37"/>
      <c r="Z62" s="94">
        <f>SUBTOTAL(109,Tabela1456[Valor9])</f>
        <v>23163.98</v>
      </c>
      <c r="AA62" s="3"/>
      <c r="AB62" s="94">
        <f>SUBTOTAL(109,Tabela1456[Valor10])</f>
        <v>23798.350000000002</v>
      </c>
      <c r="AC62" s="37"/>
      <c r="AD62" s="94">
        <f>SUBTOTAL(109,Tabela1456[Valor11])</f>
        <v>50055.57</v>
      </c>
      <c r="AE62" s="37"/>
      <c r="AF62" s="94">
        <f>SUBTOTAL(109,Tabela1456[Valor12])</f>
        <v>84672.93</v>
      </c>
      <c r="AG62" s="37"/>
      <c r="AH62" s="94">
        <f>SUBTOTAL(109,Tabela1456[Valor14])</f>
        <v>151352.91999999998</v>
      </c>
      <c r="AI62" s="37"/>
      <c r="AJ62" s="95">
        <f>SUBTOTAL(109,Tabela1456[Valor2])</f>
        <v>45314.509999999995</v>
      </c>
      <c r="AL62" s="97" t="s">
        <v>258</v>
      </c>
    </row>
    <row r="63" spans="1:41" x14ac:dyDescent="0.25">
      <c r="AL63" s="1" t="s">
        <v>244</v>
      </c>
      <c r="AM63" s="1" t="s">
        <v>245</v>
      </c>
    </row>
    <row r="64" spans="1:41" x14ac:dyDescent="0.25">
      <c r="AL64" s="1" t="s">
        <v>246</v>
      </c>
      <c r="AM64" s="96">
        <v>4394.13</v>
      </c>
      <c r="AO64" s="8">
        <v>3605.8</v>
      </c>
    </row>
    <row r="65" spans="38:41" x14ac:dyDescent="0.25">
      <c r="AL65" s="1" t="s">
        <v>247</v>
      </c>
      <c r="AM65" s="96">
        <v>4544.99</v>
      </c>
      <c r="AO65" s="8">
        <v>3730</v>
      </c>
    </row>
    <row r="66" spans="38:41" x14ac:dyDescent="0.25">
      <c r="AL66" s="1" t="s">
        <v>248</v>
      </c>
      <c r="AM66" s="96">
        <v>3546.04</v>
      </c>
      <c r="AO66" s="8">
        <v>2730.48</v>
      </c>
    </row>
    <row r="67" spans="38:41" x14ac:dyDescent="0.25">
      <c r="AL67" s="1" t="s">
        <v>249</v>
      </c>
      <c r="AM67" s="96">
        <v>3599.87</v>
      </c>
      <c r="AO67" s="8">
        <v>2769.06</v>
      </c>
    </row>
    <row r="68" spans="38:41" x14ac:dyDescent="0.25">
      <c r="AL68" s="1" t="s">
        <v>250</v>
      </c>
      <c r="AM68" s="96">
        <v>3379.77</v>
      </c>
      <c r="AO68" s="8">
        <v>2762.78</v>
      </c>
    </row>
    <row r="69" spans="38:41" x14ac:dyDescent="0.25">
      <c r="AL69" s="1" t="s">
        <v>251</v>
      </c>
      <c r="AM69" s="96">
        <v>3346.18</v>
      </c>
      <c r="AO69" s="8">
        <v>2767.45</v>
      </c>
    </row>
    <row r="70" spans="38:41" x14ac:dyDescent="0.25">
      <c r="AL70" s="1" t="s">
        <v>252</v>
      </c>
      <c r="AM70" s="96">
        <v>3559.5</v>
      </c>
      <c r="AO70" s="8">
        <v>2983.23</v>
      </c>
    </row>
    <row r="71" spans="38:41" x14ac:dyDescent="0.25">
      <c r="AL71" s="1" t="s">
        <v>253</v>
      </c>
      <c r="AM71" s="96">
        <v>3559.5</v>
      </c>
      <c r="AO71" s="8">
        <v>2983.23</v>
      </c>
    </row>
    <row r="72" spans="38:41" x14ac:dyDescent="0.25">
      <c r="AL72" s="1" t="s">
        <v>254</v>
      </c>
      <c r="AM72" s="96">
        <v>3559.5</v>
      </c>
      <c r="AO72" s="8">
        <v>2983.23</v>
      </c>
    </row>
    <row r="73" spans="38:41" x14ac:dyDescent="0.25">
      <c r="AL73" s="1" t="s">
        <v>255</v>
      </c>
      <c r="AM73" s="96">
        <v>2836.06</v>
      </c>
      <c r="AO73" s="8">
        <v>2259.79</v>
      </c>
    </row>
    <row r="74" spans="38:41" x14ac:dyDescent="0.25">
      <c r="AL74" s="1" t="s">
        <v>256</v>
      </c>
      <c r="AM74" s="96">
        <v>2767.14</v>
      </c>
      <c r="AO74" s="8">
        <v>2178.75</v>
      </c>
    </row>
    <row r="75" spans="38:41" x14ac:dyDescent="0.25">
      <c r="AL75" s="1" t="s">
        <v>257</v>
      </c>
      <c r="AM75" s="96">
        <v>2615.83</v>
      </c>
      <c r="AO75" s="8">
        <v>2258.92</v>
      </c>
    </row>
    <row r="78" spans="38:41" x14ac:dyDescent="0.25">
      <c r="AL78" s="1" t="s">
        <v>244</v>
      </c>
      <c r="AM78" s="1" t="s">
        <v>245</v>
      </c>
    </row>
    <row r="79" spans="38:41" x14ac:dyDescent="0.25">
      <c r="AL79" s="1" t="s">
        <v>246</v>
      </c>
      <c r="AM79" s="96">
        <v>788.33</v>
      </c>
    </row>
    <row r="80" spans="38:41" x14ac:dyDescent="0.25">
      <c r="AL80" s="1" t="s">
        <v>247</v>
      </c>
      <c r="AM80" s="96">
        <v>814.99</v>
      </c>
    </row>
    <row r="81" spans="38:39" x14ac:dyDescent="0.25">
      <c r="AL81" s="1" t="s">
        <v>248</v>
      </c>
      <c r="AM81" s="96">
        <v>815.56</v>
      </c>
    </row>
    <row r="82" spans="38:39" x14ac:dyDescent="0.25">
      <c r="AL82" s="1" t="s">
        <v>249</v>
      </c>
      <c r="AM82" s="96">
        <v>830.81</v>
      </c>
    </row>
    <row r="83" spans="38:39" x14ac:dyDescent="0.25">
      <c r="AL83" s="1" t="s">
        <v>250</v>
      </c>
      <c r="AM83" s="96">
        <v>616.99</v>
      </c>
    </row>
    <row r="84" spans="38:39" x14ac:dyDescent="0.25">
      <c r="AL84" s="1" t="s">
        <v>251</v>
      </c>
      <c r="AM84" s="96">
        <v>578.73</v>
      </c>
    </row>
    <row r="85" spans="38:39" x14ac:dyDescent="0.25">
      <c r="AL85" s="1" t="s">
        <v>252</v>
      </c>
      <c r="AM85" s="96">
        <v>576.27</v>
      </c>
    </row>
    <row r="86" spans="38:39" x14ac:dyDescent="0.25">
      <c r="AL86" s="1" t="s">
        <v>253</v>
      </c>
      <c r="AM86" s="96">
        <v>576.27</v>
      </c>
    </row>
    <row r="87" spans="38:39" x14ac:dyDescent="0.25">
      <c r="AL87" s="1" t="s">
        <v>254</v>
      </c>
      <c r="AM87" s="96">
        <v>576.27</v>
      </c>
    </row>
    <row r="88" spans="38:39" x14ac:dyDescent="0.25">
      <c r="AL88" s="1" t="s">
        <v>255</v>
      </c>
      <c r="AM88" s="96">
        <v>576.27</v>
      </c>
    </row>
    <row r="89" spans="38:39" x14ac:dyDescent="0.25">
      <c r="AL89" s="1" t="s">
        <v>256</v>
      </c>
      <c r="AM89" s="96">
        <v>588.39</v>
      </c>
    </row>
    <row r="90" spans="38:39" x14ac:dyDescent="0.25">
      <c r="AL90" s="1" t="s">
        <v>257</v>
      </c>
      <c r="AM90" s="96">
        <v>356.91</v>
      </c>
    </row>
  </sheetData>
  <mergeCells count="18">
    <mergeCell ref="C2:E2"/>
    <mergeCell ref="F2:G2"/>
    <mergeCell ref="J2:K2"/>
    <mergeCell ref="A1:L1"/>
    <mergeCell ref="A2:B2"/>
    <mergeCell ref="M1:AJ1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4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7">
    <pageSetUpPr fitToPage="1"/>
  </sheetPr>
  <dimension ref="A1:AN62"/>
  <sheetViews>
    <sheetView zoomScale="85" zoomScaleNormal="85" workbookViewId="0">
      <pane xSplit="12" ySplit="4" topLeftCell="M5" activePane="bottomRight" state="frozen"/>
      <selection pane="topRight" activeCell="M1" sqref="M1"/>
      <selection pane="bottomLeft" activeCell="A5" sqref="A5"/>
      <selection pane="bottomRight" activeCell="A36" sqref="A36"/>
    </sheetView>
  </sheetViews>
  <sheetFormatPr defaultColWidth="9.140625" defaultRowHeight="15" outlineLevelCol="1" x14ac:dyDescent="0.25"/>
  <cols>
    <col min="1" max="1" width="26.5703125" style="100" customWidth="1"/>
    <col min="2" max="2" width="51.28515625" style="100" hidden="1" customWidth="1" outlineLevel="1"/>
    <col min="3" max="3" width="15.140625" style="100" hidden="1" customWidth="1" outlineLevel="1"/>
    <col min="4" max="4" width="11.85546875" style="100" hidden="1" customWidth="1" outlineLevel="1"/>
    <col min="5" max="5" width="15.140625" style="100" hidden="1" customWidth="1" outlineLevel="1"/>
    <col min="6" max="6" width="19.140625" style="100" customWidth="1" collapsed="1"/>
    <col min="7" max="7" width="16.5703125" style="100" customWidth="1"/>
    <col min="8" max="8" width="16.140625" style="100" hidden="1" customWidth="1"/>
    <col min="9" max="9" width="47.5703125" style="100" hidden="1" customWidth="1"/>
    <col min="10" max="10" width="23" style="100" hidden="1" customWidth="1"/>
    <col min="11" max="11" width="17" style="100" hidden="1" customWidth="1"/>
    <col min="12" max="12" width="38.85546875" style="100" hidden="1" customWidth="1"/>
    <col min="13" max="13" width="11.5703125" style="100" customWidth="1"/>
    <col min="14" max="14" width="12.85546875" style="100" customWidth="1"/>
    <col min="15" max="15" width="11.5703125" style="100" customWidth="1"/>
    <col min="16" max="16" width="12.85546875" style="100" customWidth="1"/>
    <col min="17" max="17" width="11.5703125" style="100" customWidth="1"/>
    <col min="18" max="18" width="12.85546875" style="100" customWidth="1"/>
    <col min="19" max="19" width="11.5703125" style="100" customWidth="1"/>
    <col min="20" max="20" width="12.85546875" style="100" customWidth="1"/>
    <col min="21" max="21" width="11.5703125" style="100" customWidth="1"/>
    <col min="22" max="22" width="12.85546875" style="100" customWidth="1"/>
    <col min="23" max="23" width="11.5703125" style="100" customWidth="1"/>
    <col min="24" max="24" width="14.42578125" style="100" customWidth="1"/>
    <col min="25" max="25" width="11.5703125" style="100" customWidth="1"/>
    <col min="26" max="26" width="14.140625" style="100" customWidth="1"/>
    <col min="27" max="27" width="11.5703125" style="100" customWidth="1"/>
    <col min="28" max="28" width="14.140625" style="100" customWidth="1"/>
    <col min="29" max="29" width="12.5703125" style="100" customWidth="1"/>
    <col min="30" max="30" width="13.42578125" style="100" customWidth="1"/>
    <col min="31" max="31" width="12.5703125" style="100" customWidth="1"/>
    <col min="32" max="32" width="13.42578125" style="100" customWidth="1"/>
    <col min="33" max="33" width="12.5703125" style="100" customWidth="1"/>
    <col min="34" max="34" width="14.140625" style="100" customWidth="1"/>
    <col min="35" max="35" width="12.5703125" style="100" bestFit="1" customWidth="1"/>
    <col min="36" max="36" width="14.7109375" style="100" customWidth="1"/>
    <col min="37" max="37" width="9.140625" style="100"/>
    <col min="38" max="38" width="10.28515625" style="100" bestFit="1" customWidth="1"/>
    <col min="39" max="39" width="10.85546875" style="100" bestFit="1" customWidth="1"/>
    <col min="40" max="40" width="10.28515625" style="100" bestFit="1" customWidth="1"/>
    <col min="41" max="16384" width="9.140625" style="100"/>
  </cols>
  <sheetData>
    <row r="1" spans="1:39" s="1" customFormat="1" x14ac:dyDescent="0.25">
      <c r="A1" s="181" t="s">
        <v>69</v>
      </c>
      <c r="B1" s="182"/>
      <c r="C1" s="182"/>
      <c r="D1" s="182"/>
      <c r="E1" s="182"/>
      <c r="F1" s="182"/>
      <c r="G1" s="182"/>
      <c r="H1" s="182"/>
      <c r="I1" s="182"/>
      <c r="J1" s="182"/>
      <c r="K1" s="183"/>
      <c r="L1" s="49"/>
      <c r="M1" s="81"/>
      <c r="N1" s="83"/>
      <c r="O1" s="81"/>
      <c r="P1" s="83"/>
      <c r="Q1" s="81"/>
      <c r="R1" s="83"/>
      <c r="S1" s="81"/>
      <c r="T1" s="83"/>
      <c r="U1" s="81"/>
      <c r="V1" s="83"/>
      <c r="W1" s="81"/>
      <c r="X1" s="83"/>
      <c r="Y1" s="81"/>
      <c r="Z1" s="83"/>
      <c r="AA1" s="81"/>
      <c r="AB1" s="83"/>
      <c r="AC1" s="81"/>
      <c r="AD1" s="83"/>
      <c r="AE1" s="81"/>
      <c r="AF1" s="83"/>
      <c r="AG1" s="81"/>
      <c r="AH1" s="83"/>
      <c r="AI1" s="81"/>
      <c r="AJ1" s="83"/>
    </row>
    <row r="2" spans="1:39" s="1" customFormat="1" x14ac:dyDescent="0.25">
      <c r="A2" s="179" t="s">
        <v>60</v>
      </c>
      <c r="B2" s="180"/>
      <c r="C2" s="170"/>
      <c r="D2" s="170"/>
      <c r="E2" s="171"/>
      <c r="F2" s="170"/>
      <c r="G2" s="171"/>
      <c r="H2" s="69"/>
      <c r="I2" s="70"/>
      <c r="J2" s="170"/>
      <c r="K2" s="171"/>
      <c r="L2" s="62"/>
      <c r="M2" s="170">
        <v>43831</v>
      </c>
      <c r="N2" s="171"/>
      <c r="O2" s="172">
        <v>43862</v>
      </c>
      <c r="P2" s="173"/>
      <c r="Q2" s="170">
        <v>43891</v>
      </c>
      <c r="R2" s="171"/>
      <c r="S2" s="172">
        <v>43922</v>
      </c>
      <c r="T2" s="173"/>
      <c r="U2" s="170">
        <v>43952</v>
      </c>
      <c r="V2" s="171"/>
      <c r="W2" s="172">
        <v>43983</v>
      </c>
      <c r="X2" s="173"/>
      <c r="Y2" s="170">
        <v>44013</v>
      </c>
      <c r="Z2" s="171"/>
      <c r="AA2" s="172">
        <v>44044</v>
      </c>
      <c r="AB2" s="173"/>
      <c r="AC2" s="170">
        <v>44075</v>
      </c>
      <c r="AD2" s="171"/>
      <c r="AE2" s="172">
        <v>44105</v>
      </c>
      <c r="AF2" s="173"/>
      <c r="AG2" s="170">
        <v>44136</v>
      </c>
      <c r="AH2" s="171"/>
      <c r="AI2" s="172">
        <v>44166</v>
      </c>
      <c r="AJ2" s="173"/>
    </row>
    <row r="3" spans="1:39" s="13" customFormat="1" ht="30" x14ac:dyDescent="0.25">
      <c r="A3" s="11" t="s">
        <v>0</v>
      </c>
      <c r="B3" s="43" t="s">
        <v>5</v>
      </c>
      <c r="C3" s="45" t="s">
        <v>3</v>
      </c>
      <c r="D3" s="66" t="s">
        <v>209</v>
      </c>
      <c r="E3" s="45" t="s">
        <v>1</v>
      </c>
      <c r="F3" s="43" t="s">
        <v>8</v>
      </c>
      <c r="G3" s="43" t="s">
        <v>2</v>
      </c>
      <c r="H3" s="44" t="s">
        <v>79</v>
      </c>
      <c r="I3" s="44" t="s">
        <v>107</v>
      </c>
      <c r="J3" s="59" t="s">
        <v>186</v>
      </c>
      <c r="K3" s="43" t="s">
        <v>19</v>
      </c>
      <c r="L3" s="43" t="s">
        <v>105</v>
      </c>
      <c r="M3" s="45" t="s">
        <v>115</v>
      </c>
      <c r="N3" s="46" t="s">
        <v>116</v>
      </c>
      <c r="O3" s="45" t="s">
        <v>117</v>
      </c>
      <c r="P3" s="46" t="s">
        <v>118</v>
      </c>
      <c r="Q3" s="45" t="s">
        <v>119</v>
      </c>
      <c r="R3" s="46" t="s">
        <v>120</v>
      </c>
      <c r="S3" s="45" t="s">
        <v>121</v>
      </c>
      <c r="T3" s="46" t="s">
        <v>122</v>
      </c>
      <c r="U3" s="45" t="s">
        <v>123</v>
      </c>
      <c r="V3" s="46" t="s">
        <v>124</v>
      </c>
      <c r="W3" s="45" t="s">
        <v>125</v>
      </c>
      <c r="X3" s="46" t="s">
        <v>126</v>
      </c>
      <c r="Y3" s="45" t="s">
        <v>127</v>
      </c>
      <c r="Z3" s="46" t="s">
        <v>128</v>
      </c>
      <c r="AA3" s="45" t="s">
        <v>129</v>
      </c>
      <c r="AB3" s="46" t="s">
        <v>130</v>
      </c>
      <c r="AC3" s="45" t="s">
        <v>131</v>
      </c>
      <c r="AD3" s="46" t="s">
        <v>132</v>
      </c>
      <c r="AE3" s="45" t="s">
        <v>133</v>
      </c>
      <c r="AF3" s="46" t="s">
        <v>134</v>
      </c>
      <c r="AG3" s="45" t="s">
        <v>135</v>
      </c>
      <c r="AH3" s="46" t="s">
        <v>137</v>
      </c>
      <c r="AI3" s="45" t="s">
        <v>136</v>
      </c>
      <c r="AJ3" s="46" t="s">
        <v>138</v>
      </c>
    </row>
    <row r="4" spans="1:39" s="1" customFormat="1" ht="30" hidden="1" x14ac:dyDescent="0.25">
      <c r="A4" s="2" t="s">
        <v>18</v>
      </c>
      <c r="B4" s="2" t="s">
        <v>4</v>
      </c>
      <c r="C4" s="3">
        <v>41609</v>
      </c>
      <c r="D4" s="3"/>
      <c r="E4" s="3" t="s">
        <v>6</v>
      </c>
      <c r="F4" s="2" t="s">
        <v>12</v>
      </c>
      <c r="G4" s="2" t="s">
        <v>7</v>
      </c>
      <c r="H4" s="4">
        <v>1952.22</v>
      </c>
      <c r="I4" s="4"/>
      <c r="J4" s="4"/>
      <c r="K4" s="2" t="s">
        <v>20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4"/>
      <c r="AA4" s="2"/>
      <c r="AB4" s="4"/>
      <c r="AC4" s="2"/>
      <c r="AD4" s="2"/>
      <c r="AE4" s="2"/>
      <c r="AF4" s="2"/>
      <c r="AG4" s="2"/>
      <c r="AH4" s="2"/>
      <c r="AI4" s="2"/>
      <c r="AJ4" s="2"/>
    </row>
    <row r="5" spans="1:39" s="1" customFormat="1" x14ac:dyDescent="0.25">
      <c r="A5" s="25" t="s">
        <v>9</v>
      </c>
      <c r="B5" s="25" t="s">
        <v>262</v>
      </c>
      <c r="C5" s="26">
        <v>41644</v>
      </c>
      <c r="D5" s="26">
        <v>42008</v>
      </c>
      <c r="E5" s="26" t="s">
        <v>6</v>
      </c>
      <c r="F5" s="25" t="s">
        <v>89</v>
      </c>
      <c r="G5" s="25" t="s">
        <v>7</v>
      </c>
      <c r="H5" s="27" t="s">
        <v>139</v>
      </c>
      <c r="I5" s="27" t="s">
        <v>145</v>
      </c>
      <c r="J5" s="27" t="s">
        <v>185</v>
      </c>
      <c r="K5" s="25" t="s">
        <v>78</v>
      </c>
      <c r="L5" s="25" t="s">
        <v>184</v>
      </c>
      <c r="M5" s="41">
        <v>43836</v>
      </c>
      <c r="N5" s="103">
        <v>5352.77</v>
      </c>
      <c r="O5" s="41">
        <v>43864</v>
      </c>
      <c r="P5" s="103">
        <v>4435.18</v>
      </c>
      <c r="Q5" s="41">
        <v>43895</v>
      </c>
      <c r="R5" s="103">
        <v>4606.45</v>
      </c>
      <c r="S5" s="41">
        <v>43922</v>
      </c>
      <c r="T5" s="103">
        <v>6236.63</v>
      </c>
      <c r="U5" s="41">
        <v>43957</v>
      </c>
      <c r="V5" s="103">
        <v>5240.99</v>
      </c>
      <c r="W5" s="41">
        <v>43987</v>
      </c>
      <c r="X5" s="103">
        <v>5774.69</v>
      </c>
      <c r="Y5" s="41">
        <v>44014</v>
      </c>
      <c r="Z5" s="103">
        <v>6397.92</v>
      </c>
      <c r="AA5" s="41">
        <v>44046</v>
      </c>
      <c r="AB5" s="103">
        <v>6753.2966666666671</v>
      </c>
      <c r="AC5" s="41">
        <v>44078</v>
      </c>
      <c r="AD5" s="103">
        <v>5425.05</v>
      </c>
      <c r="AE5" s="104">
        <v>44106</v>
      </c>
      <c r="AF5" s="103">
        <v>7812.5</v>
      </c>
      <c r="AG5" s="104">
        <v>44138</v>
      </c>
      <c r="AH5" s="103">
        <v>4262.8100000000004</v>
      </c>
      <c r="AI5" s="104">
        <v>44186</v>
      </c>
      <c r="AJ5" s="103">
        <v>6955.72</v>
      </c>
    </row>
    <row r="6" spans="1:39" s="1" customFormat="1" hidden="1" x14ac:dyDescent="0.25">
      <c r="A6" s="2" t="s">
        <v>17</v>
      </c>
      <c r="B6" s="2" t="s">
        <v>11</v>
      </c>
      <c r="C6" s="3">
        <v>41800</v>
      </c>
      <c r="D6" s="3">
        <v>43231</v>
      </c>
      <c r="E6" s="3" t="s">
        <v>13</v>
      </c>
      <c r="F6" s="25" t="s">
        <v>89</v>
      </c>
      <c r="G6" s="2" t="s">
        <v>15</v>
      </c>
      <c r="H6" s="4">
        <v>1240</v>
      </c>
      <c r="I6" s="27" t="s">
        <v>140</v>
      </c>
      <c r="J6" s="27" t="s">
        <v>187</v>
      </c>
      <c r="K6" s="2" t="s">
        <v>155</v>
      </c>
      <c r="L6" s="2"/>
      <c r="M6" s="3" t="s">
        <v>181</v>
      </c>
      <c r="N6" s="2" t="s">
        <v>181</v>
      </c>
      <c r="O6" s="3" t="s">
        <v>181</v>
      </c>
      <c r="P6" s="2" t="s">
        <v>181</v>
      </c>
      <c r="Q6" s="2" t="s">
        <v>181</v>
      </c>
      <c r="R6" s="2" t="s">
        <v>181</v>
      </c>
      <c r="S6" s="2"/>
      <c r="T6" s="2"/>
      <c r="U6" s="2"/>
      <c r="V6" s="2"/>
      <c r="W6" s="2"/>
      <c r="X6" s="2"/>
      <c r="Y6" s="3" t="s">
        <v>181</v>
      </c>
      <c r="Z6" s="4" t="s">
        <v>181</v>
      </c>
      <c r="AA6" s="3" t="s">
        <v>181</v>
      </c>
      <c r="AB6" s="4" t="s">
        <v>181</v>
      </c>
      <c r="AC6" s="2"/>
      <c r="AD6" s="2"/>
      <c r="AE6" s="99"/>
      <c r="AF6" s="2"/>
      <c r="AG6" s="99"/>
      <c r="AH6" s="2"/>
      <c r="AI6" s="99"/>
      <c r="AJ6" s="2"/>
    </row>
    <row r="7" spans="1:39" s="1" customFormat="1" ht="30" hidden="1" x14ac:dyDescent="0.25">
      <c r="A7" s="2" t="s">
        <v>16</v>
      </c>
      <c r="B7" s="2" t="s">
        <v>21</v>
      </c>
      <c r="C7" s="3">
        <v>38936</v>
      </c>
      <c r="D7" s="3"/>
      <c r="E7" s="3" t="s">
        <v>13</v>
      </c>
      <c r="F7" s="2" t="s">
        <v>12</v>
      </c>
      <c r="G7" s="2" t="s">
        <v>7</v>
      </c>
      <c r="H7" s="4">
        <v>228</v>
      </c>
      <c r="I7" s="4"/>
      <c r="J7" s="4"/>
      <c r="K7" s="2" t="s">
        <v>100</v>
      </c>
      <c r="L7" s="2"/>
      <c r="M7" s="3"/>
      <c r="N7" s="2"/>
      <c r="O7" s="3"/>
      <c r="P7" s="2"/>
      <c r="Q7" s="2"/>
      <c r="R7" s="2"/>
      <c r="S7" s="2"/>
      <c r="T7" s="2"/>
      <c r="U7" s="2"/>
      <c r="V7" s="2"/>
      <c r="W7" s="2"/>
      <c r="X7" s="2"/>
      <c r="Y7" s="2"/>
      <c r="Z7" s="4"/>
      <c r="AA7" s="3"/>
      <c r="AB7" s="4"/>
      <c r="AC7" s="2"/>
      <c r="AD7" s="2"/>
      <c r="AE7" s="99"/>
      <c r="AF7" s="2"/>
      <c r="AG7" s="99"/>
      <c r="AH7" s="2"/>
      <c r="AI7" s="99"/>
      <c r="AJ7" s="2"/>
    </row>
    <row r="8" spans="1:39" s="1" customFormat="1" hidden="1" x14ac:dyDescent="0.25">
      <c r="A8" s="2" t="s">
        <v>22</v>
      </c>
      <c r="B8" s="2" t="s">
        <v>23</v>
      </c>
      <c r="C8" s="3">
        <v>2013</v>
      </c>
      <c r="D8" s="3"/>
      <c r="E8" s="3" t="s">
        <v>6</v>
      </c>
      <c r="F8" s="2" t="s">
        <v>6</v>
      </c>
      <c r="G8" s="2" t="s">
        <v>7</v>
      </c>
      <c r="H8" s="4">
        <v>200</v>
      </c>
      <c r="I8" s="4"/>
      <c r="J8" s="4"/>
      <c r="K8" s="2" t="s">
        <v>20</v>
      </c>
      <c r="L8" s="2"/>
      <c r="M8" s="3"/>
      <c r="N8" s="2"/>
      <c r="O8" s="3"/>
      <c r="P8" s="2"/>
      <c r="Q8" s="2"/>
      <c r="R8" s="2"/>
      <c r="S8" s="2"/>
      <c r="T8" s="2"/>
      <c r="U8" s="2"/>
      <c r="V8" s="2"/>
      <c r="W8" s="2"/>
      <c r="X8" s="2"/>
      <c r="Y8" s="2"/>
      <c r="Z8" s="4"/>
      <c r="AA8" s="3"/>
      <c r="AB8" s="4"/>
      <c r="AC8" s="2"/>
      <c r="AD8" s="2"/>
      <c r="AE8" s="99"/>
      <c r="AF8" s="2"/>
      <c r="AG8" s="99"/>
      <c r="AH8" s="2"/>
      <c r="AI8" s="99"/>
      <c r="AJ8" s="2"/>
    </row>
    <row r="9" spans="1:39" s="1" customFormat="1" x14ac:dyDescent="0.25">
      <c r="A9" s="25" t="s">
        <v>24</v>
      </c>
      <c r="B9" s="25" t="s">
        <v>263</v>
      </c>
      <c r="C9" s="26">
        <v>43102</v>
      </c>
      <c r="D9" s="26" t="s">
        <v>181</v>
      </c>
      <c r="E9" s="3" t="s">
        <v>13</v>
      </c>
      <c r="F9" s="25" t="s">
        <v>89</v>
      </c>
      <c r="G9" s="25" t="s">
        <v>7</v>
      </c>
      <c r="H9" s="27">
        <v>580</v>
      </c>
      <c r="I9" s="27" t="s">
        <v>141</v>
      </c>
      <c r="J9" s="27" t="s">
        <v>188</v>
      </c>
      <c r="K9" s="25" t="s">
        <v>78</v>
      </c>
      <c r="L9" s="25"/>
      <c r="M9" s="105">
        <v>43840</v>
      </c>
      <c r="N9" s="106">
        <v>580</v>
      </c>
      <c r="O9" s="41">
        <v>43872</v>
      </c>
      <c r="P9" s="106">
        <v>580</v>
      </c>
      <c r="Q9" s="41">
        <v>43900</v>
      </c>
      <c r="R9" s="106">
        <v>580</v>
      </c>
      <c r="S9" s="41">
        <v>43929</v>
      </c>
      <c r="T9" s="106">
        <v>580</v>
      </c>
      <c r="U9" s="41">
        <v>43957</v>
      </c>
      <c r="V9" s="106">
        <v>580</v>
      </c>
      <c r="W9" s="41">
        <v>43987</v>
      </c>
      <c r="X9" s="106">
        <v>580</v>
      </c>
      <c r="Y9" s="41">
        <v>44021</v>
      </c>
      <c r="Z9" s="106">
        <v>580</v>
      </c>
      <c r="AA9" s="41">
        <v>44049</v>
      </c>
      <c r="AB9" s="106">
        <v>580</v>
      </c>
      <c r="AC9" s="41">
        <v>44084</v>
      </c>
      <c r="AD9" s="106">
        <v>580</v>
      </c>
      <c r="AE9" s="104">
        <v>44118</v>
      </c>
      <c r="AF9" s="106">
        <v>580</v>
      </c>
      <c r="AG9" s="104">
        <v>44145</v>
      </c>
      <c r="AH9" s="106">
        <v>580</v>
      </c>
      <c r="AI9" s="104">
        <v>44186</v>
      </c>
      <c r="AJ9" s="106">
        <v>580</v>
      </c>
    </row>
    <row r="10" spans="1:39" s="1" customFormat="1" hidden="1" x14ac:dyDescent="0.25">
      <c r="A10" s="25" t="s">
        <v>26</v>
      </c>
      <c r="B10" s="25" t="s">
        <v>27</v>
      </c>
      <c r="C10" s="27">
        <v>42675</v>
      </c>
      <c r="D10" s="27"/>
      <c r="E10" s="27" t="s">
        <v>28</v>
      </c>
      <c r="F10" s="25" t="s">
        <v>6</v>
      </c>
      <c r="G10" s="42" t="s">
        <v>29</v>
      </c>
      <c r="H10" s="42" t="s">
        <v>149</v>
      </c>
      <c r="I10" s="42" t="s">
        <v>149</v>
      </c>
      <c r="J10" s="42"/>
      <c r="K10" s="42" t="s">
        <v>149</v>
      </c>
      <c r="L10" s="42" t="s">
        <v>149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40"/>
      <c r="AA10" s="3"/>
      <c r="AB10" s="40"/>
      <c r="AC10" s="2"/>
      <c r="AD10" s="2"/>
      <c r="AE10" s="99"/>
      <c r="AF10" s="2"/>
      <c r="AG10" s="99"/>
      <c r="AH10" s="2"/>
      <c r="AI10" s="99"/>
      <c r="AJ10" s="2"/>
    </row>
    <row r="11" spans="1:39" s="1" customFormat="1" x14ac:dyDescent="0.25">
      <c r="A11" s="25" t="s">
        <v>31</v>
      </c>
      <c r="B11" s="25" t="s">
        <v>32</v>
      </c>
      <c r="C11" s="26">
        <v>40568</v>
      </c>
      <c r="D11" s="26">
        <v>43102</v>
      </c>
      <c r="E11" s="26" t="s">
        <v>33</v>
      </c>
      <c r="F11" s="25" t="s">
        <v>89</v>
      </c>
      <c r="G11" s="25" t="s">
        <v>7</v>
      </c>
      <c r="H11" s="27">
        <v>1452.21</v>
      </c>
      <c r="I11" s="27" t="s">
        <v>110</v>
      </c>
      <c r="J11" s="27" t="s">
        <v>189</v>
      </c>
      <c r="K11" s="25" t="s">
        <v>78</v>
      </c>
      <c r="L11" s="25"/>
      <c r="M11" s="41">
        <v>43836</v>
      </c>
      <c r="N11" s="103">
        <v>1452.21</v>
      </c>
      <c r="O11" s="41">
        <v>43864</v>
      </c>
      <c r="P11" s="103">
        <v>1517.01</v>
      </c>
      <c r="Q11" s="41">
        <v>43894</v>
      </c>
      <c r="R11" s="103">
        <v>1517.01</v>
      </c>
      <c r="S11" s="41">
        <v>43922</v>
      </c>
      <c r="T11" s="103">
        <v>1213.5999999999999</v>
      </c>
      <c r="U11" s="41">
        <v>43957</v>
      </c>
      <c r="V11" s="103">
        <v>1213.5999999999999</v>
      </c>
      <c r="W11" s="41">
        <v>43986</v>
      </c>
      <c r="X11" s="103">
        <v>1213.5999999999999</v>
      </c>
      <c r="Y11" s="41">
        <v>44013</v>
      </c>
      <c r="Z11" s="103">
        <v>1213.5999999999999</v>
      </c>
      <c r="AA11" s="41">
        <v>44016</v>
      </c>
      <c r="AB11" s="103">
        <v>1213.5999999999999</v>
      </c>
      <c r="AC11" s="41">
        <v>44077</v>
      </c>
      <c r="AD11" s="103">
        <v>1213.5999999999999</v>
      </c>
      <c r="AE11" s="104">
        <v>44106</v>
      </c>
      <c r="AF11" s="103">
        <v>1213.5999999999999</v>
      </c>
      <c r="AG11" s="104">
        <v>44140</v>
      </c>
      <c r="AH11" s="103">
        <v>1213.5999999999999</v>
      </c>
      <c r="AI11" s="104">
        <v>44186</v>
      </c>
      <c r="AJ11" s="103">
        <v>1213.5999999999999</v>
      </c>
    </row>
    <row r="12" spans="1:39" s="1" customFormat="1" hidden="1" x14ac:dyDescent="0.25">
      <c r="A12" s="2" t="s">
        <v>35</v>
      </c>
      <c r="B12" s="2" t="s">
        <v>36</v>
      </c>
      <c r="C12" s="3">
        <v>41620</v>
      </c>
      <c r="D12" s="3"/>
      <c r="E12" s="3" t="s">
        <v>6</v>
      </c>
      <c r="F12" s="2" t="s">
        <v>6</v>
      </c>
      <c r="G12" s="2" t="s">
        <v>7</v>
      </c>
      <c r="H12" s="4">
        <v>134.9</v>
      </c>
      <c r="I12" s="4"/>
      <c r="J12" s="4"/>
      <c r="K12" s="2" t="s">
        <v>20</v>
      </c>
      <c r="L12" s="2"/>
      <c r="M12" s="3"/>
      <c r="N12" s="2"/>
      <c r="O12" s="3"/>
      <c r="P12" s="2"/>
      <c r="Q12" s="2"/>
      <c r="R12" s="2"/>
      <c r="S12" s="2"/>
      <c r="T12" s="2"/>
      <c r="U12" s="2"/>
      <c r="V12" s="2"/>
      <c r="W12" s="2"/>
      <c r="X12" s="2"/>
      <c r="Y12" s="2"/>
      <c r="Z12" s="4"/>
      <c r="AA12" s="3"/>
      <c r="AB12" s="4"/>
      <c r="AC12" s="2"/>
      <c r="AD12" s="2"/>
      <c r="AE12" s="99"/>
      <c r="AF12" s="2"/>
      <c r="AG12" s="99"/>
      <c r="AH12" s="2"/>
      <c r="AI12" s="99"/>
      <c r="AJ12" s="2"/>
    </row>
    <row r="13" spans="1:39" s="1" customFormat="1" hidden="1" x14ac:dyDescent="0.25">
      <c r="A13" s="2" t="s">
        <v>35</v>
      </c>
      <c r="B13" s="2" t="s">
        <v>40</v>
      </c>
      <c r="C13" s="3">
        <v>41620</v>
      </c>
      <c r="D13" s="3"/>
      <c r="E13" s="3" t="s">
        <v>6</v>
      </c>
      <c r="F13" s="2" t="s">
        <v>6</v>
      </c>
      <c r="G13" s="2" t="s">
        <v>15</v>
      </c>
      <c r="H13" s="4" t="s">
        <v>41</v>
      </c>
      <c r="I13" s="4"/>
      <c r="J13" s="4"/>
      <c r="K13" s="2" t="s">
        <v>20</v>
      </c>
      <c r="L13" s="2"/>
      <c r="M13" s="3"/>
      <c r="N13" s="2"/>
      <c r="O13" s="3"/>
      <c r="P13" s="2"/>
      <c r="Q13" s="2"/>
      <c r="R13" s="2"/>
      <c r="S13" s="2"/>
      <c r="T13" s="2"/>
      <c r="U13" s="2"/>
      <c r="V13" s="2"/>
      <c r="W13" s="2"/>
      <c r="X13" s="2"/>
      <c r="Y13" s="2"/>
      <c r="Z13" s="4"/>
      <c r="AA13" s="3"/>
      <c r="AB13" s="4"/>
      <c r="AC13" s="2"/>
      <c r="AD13" s="2"/>
      <c r="AE13" s="99"/>
      <c r="AF13" s="2"/>
      <c r="AG13" s="99"/>
      <c r="AH13" s="2"/>
      <c r="AI13" s="99"/>
      <c r="AJ13" s="2"/>
    </row>
    <row r="14" spans="1:39" s="1" customFormat="1" ht="15.75" thickBot="1" x14ac:dyDescent="0.3">
      <c r="A14" s="25" t="s">
        <v>42</v>
      </c>
      <c r="B14" s="25" t="s">
        <v>214</v>
      </c>
      <c r="C14" s="26">
        <v>43040</v>
      </c>
      <c r="D14" s="26">
        <v>43119</v>
      </c>
      <c r="E14" s="26" t="s">
        <v>28</v>
      </c>
      <c r="F14" s="73" t="s">
        <v>210</v>
      </c>
      <c r="G14" s="73" t="s">
        <v>181</v>
      </c>
      <c r="H14" s="27">
        <v>930.4</v>
      </c>
      <c r="I14" s="27" t="s">
        <v>141</v>
      </c>
      <c r="J14" s="27" t="s">
        <v>190</v>
      </c>
      <c r="K14" s="25" t="s">
        <v>78</v>
      </c>
      <c r="L14" s="25"/>
      <c r="M14" s="41">
        <v>43851</v>
      </c>
      <c r="N14" s="106">
        <f>721.6+208.8</f>
        <v>930.40000000000009</v>
      </c>
      <c r="O14" s="41">
        <v>43889</v>
      </c>
      <c r="P14" s="103">
        <v>930.4</v>
      </c>
      <c r="Q14" s="41">
        <v>43909</v>
      </c>
      <c r="R14" s="103">
        <f>208.8+721.6</f>
        <v>930.40000000000009</v>
      </c>
      <c r="S14" s="41">
        <v>43944</v>
      </c>
      <c r="T14" s="103">
        <f>208.8+721.6</f>
        <v>930.40000000000009</v>
      </c>
      <c r="U14" s="41">
        <v>43964</v>
      </c>
      <c r="V14" s="103">
        <f>208.8+721.6</f>
        <v>930.40000000000009</v>
      </c>
      <c r="W14" s="41">
        <v>44004</v>
      </c>
      <c r="X14" s="103">
        <v>837.36</v>
      </c>
      <c r="Y14" s="41">
        <v>44040</v>
      </c>
      <c r="Z14" s="103">
        <v>837.36</v>
      </c>
      <c r="AA14" s="41">
        <v>44050</v>
      </c>
      <c r="AB14" s="103">
        <v>692.6</v>
      </c>
      <c r="AC14" s="41">
        <v>44084</v>
      </c>
      <c r="AD14" s="103">
        <v>692.6</v>
      </c>
      <c r="AE14" s="104">
        <v>44113</v>
      </c>
      <c r="AF14" s="103">
        <v>692.6</v>
      </c>
      <c r="AG14" s="104">
        <v>44153</v>
      </c>
      <c r="AH14" s="106">
        <v>692.6</v>
      </c>
      <c r="AI14" s="104">
        <v>44186</v>
      </c>
      <c r="AJ14" s="106">
        <v>930.4</v>
      </c>
    </row>
    <row r="15" spans="1:39" s="1" customFormat="1" x14ac:dyDescent="0.25">
      <c r="A15" s="25" t="s">
        <v>212</v>
      </c>
      <c r="B15" s="25"/>
      <c r="C15" s="26"/>
      <c r="D15" s="26" t="s">
        <v>181</v>
      </c>
      <c r="E15" s="71" t="s">
        <v>13</v>
      </c>
      <c r="F15" s="79" t="s">
        <v>218</v>
      </c>
      <c r="G15" s="80">
        <v>44160</v>
      </c>
      <c r="H15" s="72"/>
      <c r="I15" s="27"/>
      <c r="J15" s="27"/>
      <c r="K15" s="25" t="s">
        <v>78</v>
      </c>
      <c r="L15" s="25"/>
      <c r="M15" s="41" t="s">
        <v>181</v>
      </c>
      <c r="N15" s="103" t="s">
        <v>181</v>
      </c>
      <c r="O15" s="41" t="s">
        <v>181</v>
      </c>
      <c r="P15" s="103" t="s">
        <v>181</v>
      </c>
      <c r="Q15" s="41" t="s">
        <v>181</v>
      </c>
      <c r="R15" s="103" t="s">
        <v>181</v>
      </c>
      <c r="S15" s="41" t="s">
        <v>181</v>
      </c>
      <c r="T15" s="103" t="s">
        <v>181</v>
      </c>
      <c r="U15" s="41" t="s">
        <v>181</v>
      </c>
      <c r="V15" s="103" t="s">
        <v>181</v>
      </c>
      <c r="W15" s="41" t="s">
        <v>181</v>
      </c>
      <c r="X15" s="103" t="s">
        <v>181</v>
      </c>
      <c r="Y15" s="41" t="s">
        <v>181</v>
      </c>
      <c r="Z15" s="103" t="s">
        <v>181</v>
      </c>
      <c r="AA15" s="41" t="s">
        <v>181</v>
      </c>
      <c r="AB15" s="103" t="s">
        <v>181</v>
      </c>
      <c r="AC15" s="41" t="s">
        <v>181</v>
      </c>
      <c r="AD15" s="103" t="s">
        <v>181</v>
      </c>
      <c r="AE15" s="104" t="s">
        <v>181</v>
      </c>
      <c r="AF15" s="103" t="s">
        <v>181</v>
      </c>
      <c r="AG15" s="104" t="s">
        <v>181</v>
      </c>
      <c r="AH15" s="103" t="s">
        <v>181</v>
      </c>
      <c r="AI15" s="104" t="s">
        <v>181</v>
      </c>
      <c r="AJ15" s="103" t="s">
        <v>181</v>
      </c>
      <c r="AM15" s="96"/>
    </row>
    <row r="16" spans="1:39" s="1" customFormat="1" ht="15.75" thickBot="1" x14ac:dyDescent="0.3">
      <c r="A16" s="25" t="s">
        <v>213</v>
      </c>
      <c r="B16" s="25"/>
      <c r="C16" s="26">
        <v>43405</v>
      </c>
      <c r="D16" s="26" t="s">
        <v>181</v>
      </c>
      <c r="E16" s="71" t="s">
        <v>28</v>
      </c>
      <c r="F16" s="76" t="s">
        <v>218</v>
      </c>
      <c r="G16" s="77">
        <v>44160</v>
      </c>
      <c r="H16" s="72"/>
      <c r="I16" s="27"/>
      <c r="J16" s="27"/>
      <c r="K16" s="25" t="s">
        <v>78</v>
      </c>
      <c r="L16" s="25"/>
      <c r="M16" s="41" t="s">
        <v>181</v>
      </c>
      <c r="N16" s="103" t="s">
        <v>181</v>
      </c>
      <c r="O16" s="41" t="s">
        <v>181</v>
      </c>
      <c r="P16" s="103" t="s">
        <v>181</v>
      </c>
      <c r="Q16" s="41" t="s">
        <v>181</v>
      </c>
      <c r="R16" s="103" t="s">
        <v>181</v>
      </c>
      <c r="S16" s="41" t="s">
        <v>181</v>
      </c>
      <c r="T16" s="103" t="s">
        <v>181</v>
      </c>
      <c r="U16" s="41" t="s">
        <v>181</v>
      </c>
      <c r="V16" s="103" t="s">
        <v>181</v>
      </c>
      <c r="W16" s="41" t="s">
        <v>181</v>
      </c>
      <c r="X16" s="103" t="s">
        <v>181</v>
      </c>
      <c r="Y16" s="41" t="s">
        <v>181</v>
      </c>
      <c r="Z16" s="103" t="s">
        <v>181</v>
      </c>
      <c r="AA16" s="41" t="s">
        <v>181</v>
      </c>
      <c r="AB16" s="103" t="s">
        <v>181</v>
      </c>
      <c r="AC16" s="41" t="s">
        <v>181</v>
      </c>
      <c r="AD16" s="103" t="s">
        <v>181</v>
      </c>
      <c r="AE16" s="104" t="s">
        <v>181</v>
      </c>
      <c r="AF16" s="103" t="s">
        <v>181</v>
      </c>
      <c r="AG16" s="104" t="s">
        <v>181</v>
      </c>
      <c r="AH16" s="103" t="s">
        <v>181</v>
      </c>
      <c r="AI16" s="104" t="s">
        <v>181</v>
      </c>
      <c r="AJ16" s="103" t="s">
        <v>181</v>
      </c>
      <c r="AM16" s="96"/>
    </row>
    <row r="17" spans="1:39" s="1" customFormat="1" ht="15.75" thickBot="1" x14ac:dyDescent="0.3">
      <c r="A17" s="25" t="s">
        <v>231</v>
      </c>
      <c r="B17" s="25" t="s">
        <v>232</v>
      </c>
      <c r="C17" s="26">
        <v>43616</v>
      </c>
      <c r="D17" s="26"/>
      <c r="E17" s="71" t="s">
        <v>13</v>
      </c>
      <c r="F17" s="91" t="s">
        <v>89</v>
      </c>
      <c r="G17" s="92" t="s">
        <v>7</v>
      </c>
      <c r="H17" s="72">
        <v>202</v>
      </c>
      <c r="I17" s="27" t="s">
        <v>141</v>
      </c>
      <c r="J17" s="27" t="s">
        <v>266</v>
      </c>
      <c r="K17" s="25" t="s">
        <v>78</v>
      </c>
      <c r="L17" s="25"/>
      <c r="M17" s="41">
        <v>43836</v>
      </c>
      <c r="N17" s="103">
        <v>202</v>
      </c>
      <c r="O17" s="41">
        <v>43864</v>
      </c>
      <c r="P17" s="103">
        <v>202</v>
      </c>
      <c r="Q17" s="41">
        <v>43893</v>
      </c>
      <c r="R17" s="103">
        <v>202</v>
      </c>
      <c r="S17" s="41">
        <v>43922</v>
      </c>
      <c r="T17" s="103">
        <v>202</v>
      </c>
      <c r="U17" s="108" t="s">
        <v>271</v>
      </c>
      <c r="V17" s="108" t="s">
        <v>271</v>
      </c>
      <c r="W17" s="108" t="s">
        <v>271</v>
      </c>
      <c r="X17" s="108" t="s">
        <v>271</v>
      </c>
      <c r="Y17" s="108" t="s">
        <v>271</v>
      </c>
      <c r="Z17" s="108" t="s">
        <v>271</v>
      </c>
      <c r="AA17" s="108" t="s">
        <v>271</v>
      </c>
      <c r="AB17" s="108" t="s">
        <v>271</v>
      </c>
      <c r="AC17" s="108" t="s">
        <v>271</v>
      </c>
      <c r="AD17" s="108" t="s">
        <v>271</v>
      </c>
      <c r="AE17" s="108" t="s">
        <v>271</v>
      </c>
      <c r="AF17" s="108" t="s">
        <v>271</v>
      </c>
      <c r="AG17" s="108" t="s">
        <v>271</v>
      </c>
      <c r="AH17" s="108" t="s">
        <v>271</v>
      </c>
      <c r="AI17" s="108" t="s">
        <v>271</v>
      </c>
      <c r="AJ17" s="108" t="s">
        <v>271</v>
      </c>
      <c r="AM17" s="96"/>
    </row>
    <row r="18" spans="1:39" s="1" customFormat="1" x14ac:dyDescent="0.25">
      <c r="A18" s="25" t="s">
        <v>212</v>
      </c>
      <c r="B18" s="25"/>
      <c r="C18" s="26"/>
      <c r="D18" s="26" t="s">
        <v>181</v>
      </c>
      <c r="E18" s="71" t="s">
        <v>13</v>
      </c>
      <c r="F18" s="79" t="s">
        <v>218</v>
      </c>
      <c r="G18" s="80">
        <v>44064</v>
      </c>
      <c r="H18" s="72"/>
      <c r="I18" s="27"/>
      <c r="J18" s="27"/>
      <c r="K18" s="25" t="s">
        <v>78</v>
      </c>
      <c r="L18" s="25"/>
      <c r="M18" s="41" t="s">
        <v>181</v>
      </c>
      <c r="N18" s="103" t="s">
        <v>181</v>
      </c>
      <c r="O18" s="41" t="s">
        <v>181</v>
      </c>
      <c r="P18" s="103" t="s">
        <v>181</v>
      </c>
      <c r="Q18" s="41" t="s">
        <v>181</v>
      </c>
      <c r="R18" s="103" t="s">
        <v>181</v>
      </c>
      <c r="S18" s="41" t="s">
        <v>181</v>
      </c>
      <c r="T18" s="103" t="s">
        <v>181</v>
      </c>
      <c r="U18" s="41" t="s">
        <v>181</v>
      </c>
      <c r="V18" s="103" t="s">
        <v>181</v>
      </c>
      <c r="W18" s="41" t="s">
        <v>181</v>
      </c>
      <c r="X18" s="103" t="s">
        <v>181</v>
      </c>
      <c r="Y18" s="41" t="s">
        <v>181</v>
      </c>
      <c r="Z18" s="103" t="s">
        <v>181</v>
      </c>
      <c r="AA18" s="41" t="s">
        <v>181</v>
      </c>
      <c r="AB18" s="103" t="s">
        <v>181</v>
      </c>
      <c r="AC18" s="41" t="s">
        <v>181</v>
      </c>
      <c r="AD18" s="103" t="s">
        <v>181</v>
      </c>
      <c r="AE18" s="104" t="s">
        <v>181</v>
      </c>
      <c r="AF18" s="103" t="s">
        <v>181</v>
      </c>
      <c r="AG18" s="104" t="s">
        <v>181</v>
      </c>
      <c r="AH18" s="103" t="s">
        <v>181</v>
      </c>
      <c r="AI18" s="104" t="s">
        <v>181</v>
      </c>
      <c r="AJ18" s="103" t="s">
        <v>181</v>
      </c>
      <c r="AM18" s="96"/>
    </row>
    <row r="19" spans="1:39" s="1" customFormat="1" ht="15.75" thickBot="1" x14ac:dyDescent="0.3">
      <c r="A19" s="25" t="s">
        <v>213</v>
      </c>
      <c r="B19" s="25"/>
      <c r="C19" s="26">
        <v>43405</v>
      </c>
      <c r="D19" s="26" t="s">
        <v>181</v>
      </c>
      <c r="E19" s="71" t="s">
        <v>28</v>
      </c>
      <c r="F19" s="76" t="s">
        <v>218</v>
      </c>
      <c r="G19" s="77">
        <v>44064</v>
      </c>
      <c r="H19" s="72"/>
      <c r="I19" s="27"/>
      <c r="J19" s="27"/>
      <c r="K19" s="25" t="s">
        <v>78</v>
      </c>
      <c r="L19" s="25"/>
      <c r="M19" s="41" t="s">
        <v>181</v>
      </c>
      <c r="N19" s="103" t="s">
        <v>181</v>
      </c>
      <c r="O19" s="41" t="s">
        <v>181</v>
      </c>
      <c r="P19" s="103" t="s">
        <v>181</v>
      </c>
      <c r="Q19" s="41" t="s">
        <v>181</v>
      </c>
      <c r="R19" s="103" t="s">
        <v>181</v>
      </c>
      <c r="S19" s="41" t="s">
        <v>181</v>
      </c>
      <c r="T19" s="103" t="s">
        <v>181</v>
      </c>
      <c r="U19" s="41" t="s">
        <v>181</v>
      </c>
      <c r="V19" s="103" t="s">
        <v>181</v>
      </c>
      <c r="W19" s="41" t="s">
        <v>181</v>
      </c>
      <c r="X19" s="103" t="s">
        <v>181</v>
      </c>
      <c r="Y19" s="41" t="s">
        <v>181</v>
      </c>
      <c r="Z19" s="103" t="s">
        <v>181</v>
      </c>
      <c r="AA19" s="41" t="s">
        <v>181</v>
      </c>
      <c r="AB19" s="103" t="s">
        <v>181</v>
      </c>
      <c r="AC19" s="41" t="s">
        <v>181</v>
      </c>
      <c r="AD19" s="103" t="s">
        <v>181</v>
      </c>
      <c r="AE19" s="104" t="s">
        <v>181</v>
      </c>
      <c r="AF19" s="103" t="s">
        <v>181</v>
      </c>
      <c r="AG19" s="104" t="s">
        <v>181</v>
      </c>
      <c r="AH19" s="103" t="s">
        <v>181</v>
      </c>
      <c r="AI19" s="104" t="s">
        <v>181</v>
      </c>
      <c r="AJ19" s="103" t="s">
        <v>181</v>
      </c>
      <c r="AM19" s="96"/>
    </row>
    <row r="20" spans="1:39" s="1" customFormat="1" ht="15.75" thickBot="1" x14ac:dyDescent="0.3">
      <c r="A20" s="25" t="s">
        <v>231</v>
      </c>
      <c r="B20" s="25" t="s">
        <v>261</v>
      </c>
      <c r="C20" s="26">
        <v>43769</v>
      </c>
      <c r="D20" s="26"/>
      <c r="E20" s="71" t="s">
        <v>13</v>
      </c>
      <c r="F20" s="91" t="s">
        <v>89</v>
      </c>
      <c r="G20" s="92" t="s">
        <v>7</v>
      </c>
      <c r="H20" s="72">
        <v>202</v>
      </c>
      <c r="I20" s="27" t="s">
        <v>141</v>
      </c>
      <c r="J20" s="27" t="s">
        <v>266</v>
      </c>
      <c r="K20" s="25" t="s">
        <v>78</v>
      </c>
      <c r="L20" s="25"/>
      <c r="M20" s="41" t="s">
        <v>181</v>
      </c>
      <c r="N20" s="103" t="s">
        <v>181</v>
      </c>
      <c r="O20" s="41" t="s">
        <v>181</v>
      </c>
      <c r="P20" s="103" t="s">
        <v>181</v>
      </c>
      <c r="Q20" s="41">
        <v>43893</v>
      </c>
      <c r="R20" s="103">
        <v>202</v>
      </c>
      <c r="S20" s="41">
        <v>43922</v>
      </c>
      <c r="T20" s="103">
        <v>290.79000000000002</v>
      </c>
      <c r="U20" s="108" t="s">
        <v>271</v>
      </c>
      <c r="V20" s="108" t="s">
        <v>271</v>
      </c>
      <c r="W20" s="108" t="s">
        <v>271</v>
      </c>
      <c r="X20" s="108" t="s">
        <v>271</v>
      </c>
      <c r="Y20" s="108" t="s">
        <v>271</v>
      </c>
      <c r="Z20" s="108" t="s">
        <v>271</v>
      </c>
      <c r="AA20" s="108" t="s">
        <v>271</v>
      </c>
      <c r="AB20" s="108" t="s">
        <v>271</v>
      </c>
      <c r="AC20" s="108" t="s">
        <v>271</v>
      </c>
      <c r="AD20" s="108" t="s">
        <v>271</v>
      </c>
      <c r="AE20" s="108" t="s">
        <v>271</v>
      </c>
      <c r="AF20" s="108" t="s">
        <v>271</v>
      </c>
      <c r="AG20" s="108" t="s">
        <v>271</v>
      </c>
      <c r="AH20" s="108" t="s">
        <v>271</v>
      </c>
      <c r="AI20" s="108" t="s">
        <v>271</v>
      </c>
      <c r="AJ20" s="108" t="s">
        <v>271</v>
      </c>
      <c r="AM20" s="96"/>
    </row>
    <row r="21" spans="1:39" s="1" customFormat="1" x14ac:dyDescent="0.25">
      <c r="A21" s="25" t="s">
        <v>212</v>
      </c>
      <c r="B21" s="25"/>
      <c r="C21" s="26"/>
      <c r="D21" s="26" t="s">
        <v>181</v>
      </c>
      <c r="E21" s="71" t="s">
        <v>13</v>
      </c>
      <c r="F21" s="79" t="s">
        <v>218</v>
      </c>
      <c r="G21" s="80">
        <v>44229</v>
      </c>
      <c r="H21" s="72"/>
      <c r="I21" s="27"/>
      <c r="J21" s="27"/>
      <c r="K21" s="25" t="s">
        <v>78</v>
      </c>
      <c r="L21" s="25"/>
      <c r="M21" s="41" t="s">
        <v>181</v>
      </c>
      <c r="N21" s="103" t="s">
        <v>181</v>
      </c>
      <c r="O21" s="41" t="s">
        <v>181</v>
      </c>
      <c r="P21" s="103" t="s">
        <v>181</v>
      </c>
      <c r="Q21" s="41" t="s">
        <v>181</v>
      </c>
      <c r="R21" s="103" t="s">
        <v>181</v>
      </c>
      <c r="S21" s="41" t="s">
        <v>181</v>
      </c>
      <c r="T21" s="103" t="s">
        <v>181</v>
      </c>
      <c r="U21" s="41" t="s">
        <v>181</v>
      </c>
      <c r="V21" s="103" t="s">
        <v>181</v>
      </c>
      <c r="W21" s="41" t="s">
        <v>181</v>
      </c>
      <c r="X21" s="103" t="s">
        <v>181</v>
      </c>
      <c r="Y21" s="41" t="s">
        <v>181</v>
      </c>
      <c r="Z21" s="103" t="s">
        <v>181</v>
      </c>
      <c r="AA21" s="41" t="s">
        <v>181</v>
      </c>
      <c r="AB21" s="103" t="s">
        <v>181</v>
      </c>
      <c r="AC21" s="41" t="s">
        <v>181</v>
      </c>
      <c r="AD21" s="103" t="s">
        <v>181</v>
      </c>
      <c r="AE21" s="104" t="s">
        <v>181</v>
      </c>
      <c r="AF21" s="103" t="s">
        <v>181</v>
      </c>
      <c r="AG21" s="104" t="s">
        <v>181</v>
      </c>
      <c r="AH21" s="103" t="s">
        <v>181</v>
      </c>
      <c r="AI21" s="104" t="s">
        <v>181</v>
      </c>
      <c r="AJ21" s="103" t="s">
        <v>181</v>
      </c>
      <c r="AM21" s="96"/>
    </row>
    <row r="22" spans="1:39" s="1" customFormat="1" ht="15.75" thickBot="1" x14ac:dyDescent="0.3">
      <c r="A22" s="25" t="s">
        <v>213</v>
      </c>
      <c r="B22" s="25"/>
      <c r="C22" s="26">
        <v>43405</v>
      </c>
      <c r="D22" s="26" t="s">
        <v>181</v>
      </c>
      <c r="E22" s="71" t="s">
        <v>28</v>
      </c>
      <c r="F22" s="76" t="s">
        <v>218</v>
      </c>
      <c r="G22" s="77">
        <v>44229</v>
      </c>
      <c r="H22" s="72"/>
      <c r="I22" s="27"/>
      <c r="J22" s="27"/>
      <c r="K22" s="25" t="s">
        <v>78</v>
      </c>
      <c r="L22" s="25"/>
      <c r="M22" s="41" t="s">
        <v>181</v>
      </c>
      <c r="N22" s="103" t="s">
        <v>181</v>
      </c>
      <c r="O22" s="41" t="s">
        <v>181</v>
      </c>
      <c r="P22" s="103" t="s">
        <v>181</v>
      </c>
      <c r="Q22" s="41" t="s">
        <v>181</v>
      </c>
      <c r="R22" s="103" t="s">
        <v>181</v>
      </c>
      <c r="S22" s="41" t="s">
        <v>181</v>
      </c>
      <c r="T22" s="103" t="s">
        <v>181</v>
      </c>
      <c r="U22" s="41" t="s">
        <v>181</v>
      </c>
      <c r="V22" s="103" t="s">
        <v>181</v>
      </c>
      <c r="W22" s="41" t="s">
        <v>181</v>
      </c>
      <c r="X22" s="103" t="s">
        <v>181</v>
      </c>
      <c r="Y22" s="41" t="s">
        <v>181</v>
      </c>
      <c r="Z22" s="103" t="s">
        <v>181</v>
      </c>
      <c r="AA22" s="41" t="s">
        <v>181</v>
      </c>
      <c r="AB22" s="103" t="s">
        <v>181</v>
      </c>
      <c r="AC22" s="41" t="s">
        <v>181</v>
      </c>
      <c r="AD22" s="103" t="s">
        <v>181</v>
      </c>
      <c r="AE22" s="104" t="s">
        <v>181</v>
      </c>
      <c r="AF22" s="103" t="s">
        <v>181</v>
      </c>
      <c r="AG22" s="104" t="s">
        <v>181</v>
      </c>
      <c r="AH22" s="103" t="s">
        <v>181</v>
      </c>
      <c r="AI22" s="104" t="s">
        <v>181</v>
      </c>
      <c r="AJ22" s="103" t="s">
        <v>181</v>
      </c>
      <c r="AM22" s="96"/>
    </row>
    <row r="23" spans="1:39" s="1" customFormat="1" ht="15.75" thickBot="1" x14ac:dyDescent="0.3">
      <c r="A23" s="25" t="s">
        <v>44</v>
      </c>
      <c r="B23" s="25" t="s">
        <v>86</v>
      </c>
      <c r="C23" s="26">
        <v>38979</v>
      </c>
      <c r="D23" s="26" t="s">
        <v>181</v>
      </c>
      <c r="E23" s="26" t="s">
        <v>6</v>
      </c>
      <c r="F23" s="73" t="s">
        <v>89</v>
      </c>
      <c r="G23" s="73" t="s">
        <v>211</v>
      </c>
      <c r="H23" s="27">
        <v>1230.56</v>
      </c>
      <c r="I23" s="27" t="s">
        <v>110</v>
      </c>
      <c r="J23" s="27" t="s">
        <v>192</v>
      </c>
      <c r="K23" s="25" t="s">
        <v>78</v>
      </c>
      <c r="L23" s="25"/>
      <c r="M23" s="41">
        <v>43836</v>
      </c>
      <c r="N23" s="103">
        <v>1230.56</v>
      </c>
      <c r="O23" s="41">
        <v>43866</v>
      </c>
      <c r="P23" s="103">
        <v>1230.56</v>
      </c>
      <c r="Q23" s="41">
        <v>43896</v>
      </c>
      <c r="R23" s="103">
        <v>1230.56</v>
      </c>
      <c r="S23" s="41">
        <v>43927</v>
      </c>
      <c r="T23" s="103">
        <v>1230.56</v>
      </c>
      <c r="U23" s="41">
        <v>43957</v>
      </c>
      <c r="V23" s="103">
        <v>1230.56</v>
      </c>
      <c r="W23" s="41">
        <v>43986</v>
      </c>
      <c r="X23" s="103">
        <v>1230.56</v>
      </c>
      <c r="Y23" s="41">
        <v>44019</v>
      </c>
      <c r="Z23" s="103">
        <v>1230.56</v>
      </c>
      <c r="AA23" s="41">
        <v>44049</v>
      </c>
      <c r="AB23" s="103">
        <v>1230.56</v>
      </c>
      <c r="AC23" s="41">
        <v>44088</v>
      </c>
      <c r="AD23" s="103">
        <v>1417.96</v>
      </c>
      <c r="AE23" s="104">
        <v>44109</v>
      </c>
      <c r="AF23" s="103">
        <v>1417.96</v>
      </c>
      <c r="AG23" s="104">
        <v>44140</v>
      </c>
      <c r="AH23" s="103">
        <v>1417.96</v>
      </c>
      <c r="AI23" s="104">
        <v>44186</v>
      </c>
      <c r="AJ23" s="103">
        <v>1417.96</v>
      </c>
      <c r="AM23" s="96"/>
    </row>
    <row r="24" spans="1:39" s="1" customFormat="1" x14ac:dyDescent="0.25">
      <c r="A24" s="25" t="s">
        <v>212</v>
      </c>
      <c r="B24" s="25"/>
      <c r="C24" s="26">
        <v>43530</v>
      </c>
      <c r="D24" s="26" t="s">
        <v>181</v>
      </c>
      <c r="E24" s="71" t="s">
        <v>13</v>
      </c>
      <c r="F24" s="74" t="s">
        <v>218</v>
      </c>
      <c r="G24" s="75">
        <v>44227</v>
      </c>
      <c r="H24" s="72"/>
      <c r="I24" s="27"/>
      <c r="J24" s="27"/>
      <c r="K24" s="25" t="s">
        <v>78</v>
      </c>
      <c r="L24" s="25"/>
      <c r="M24" s="41" t="s">
        <v>181</v>
      </c>
      <c r="N24" s="103" t="s">
        <v>181</v>
      </c>
      <c r="O24" s="41" t="s">
        <v>181</v>
      </c>
      <c r="P24" s="103" t="s">
        <v>181</v>
      </c>
      <c r="Q24" s="41" t="s">
        <v>181</v>
      </c>
      <c r="R24" s="103" t="s">
        <v>181</v>
      </c>
      <c r="S24" s="41" t="s">
        <v>181</v>
      </c>
      <c r="T24" s="103" t="s">
        <v>181</v>
      </c>
      <c r="U24" s="41" t="s">
        <v>181</v>
      </c>
      <c r="V24" s="103" t="s">
        <v>181</v>
      </c>
      <c r="W24" s="41" t="s">
        <v>181</v>
      </c>
      <c r="X24" s="103" t="s">
        <v>181</v>
      </c>
      <c r="Y24" s="41" t="s">
        <v>181</v>
      </c>
      <c r="Z24" s="103" t="s">
        <v>181</v>
      </c>
      <c r="AA24" s="41" t="s">
        <v>181</v>
      </c>
      <c r="AB24" s="103" t="s">
        <v>181</v>
      </c>
      <c r="AC24" s="41" t="s">
        <v>181</v>
      </c>
      <c r="AD24" s="103" t="s">
        <v>181</v>
      </c>
      <c r="AE24" s="104" t="s">
        <v>181</v>
      </c>
      <c r="AF24" s="103" t="s">
        <v>181</v>
      </c>
      <c r="AG24" s="104" t="s">
        <v>181</v>
      </c>
      <c r="AH24" s="103" t="s">
        <v>181</v>
      </c>
      <c r="AI24" s="104" t="s">
        <v>181</v>
      </c>
      <c r="AJ24" s="103" t="s">
        <v>181</v>
      </c>
      <c r="AM24" s="96"/>
    </row>
    <row r="25" spans="1:39" s="1" customFormat="1" ht="15.75" thickBot="1" x14ac:dyDescent="0.3">
      <c r="A25" s="25" t="s">
        <v>213</v>
      </c>
      <c r="B25" s="25"/>
      <c r="C25" s="26">
        <v>43344</v>
      </c>
      <c r="D25" s="26" t="s">
        <v>181</v>
      </c>
      <c r="E25" s="71" t="s">
        <v>13</v>
      </c>
      <c r="F25" s="76" t="s">
        <v>218</v>
      </c>
      <c r="G25" s="77">
        <v>44439</v>
      </c>
      <c r="H25" s="72"/>
      <c r="I25" s="27"/>
      <c r="J25" s="27"/>
      <c r="K25" s="25" t="s">
        <v>78</v>
      </c>
      <c r="L25" s="25"/>
      <c r="M25" s="41" t="s">
        <v>181</v>
      </c>
      <c r="N25" s="103" t="s">
        <v>181</v>
      </c>
      <c r="O25" s="41" t="s">
        <v>181</v>
      </c>
      <c r="P25" s="103" t="s">
        <v>181</v>
      </c>
      <c r="Q25" s="41" t="s">
        <v>181</v>
      </c>
      <c r="R25" s="103" t="s">
        <v>181</v>
      </c>
      <c r="S25" s="41" t="s">
        <v>181</v>
      </c>
      <c r="T25" s="103" t="s">
        <v>181</v>
      </c>
      <c r="U25" s="41" t="s">
        <v>181</v>
      </c>
      <c r="V25" s="103" t="s">
        <v>181</v>
      </c>
      <c r="W25" s="41" t="s">
        <v>181</v>
      </c>
      <c r="X25" s="103" t="s">
        <v>181</v>
      </c>
      <c r="Y25" s="41" t="s">
        <v>181</v>
      </c>
      <c r="Z25" s="103" t="s">
        <v>181</v>
      </c>
      <c r="AA25" s="41" t="s">
        <v>181</v>
      </c>
      <c r="AB25" s="103" t="s">
        <v>181</v>
      </c>
      <c r="AC25" s="41" t="s">
        <v>181</v>
      </c>
      <c r="AD25" s="103" t="s">
        <v>181</v>
      </c>
      <c r="AE25" s="104" t="s">
        <v>181</v>
      </c>
      <c r="AF25" s="103" t="s">
        <v>181</v>
      </c>
      <c r="AG25" s="104" t="s">
        <v>181</v>
      </c>
      <c r="AH25" s="103" t="s">
        <v>181</v>
      </c>
      <c r="AI25" s="104" t="s">
        <v>181</v>
      </c>
      <c r="AJ25" s="103" t="s">
        <v>181</v>
      </c>
      <c r="AM25" s="96"/>
    </row>
    <row r="26" spans="1:39" s="1" customFormat="1" ht="15" hidden="1" customHeight="1" x14ac:dyDescent="0.25">
      <c r="A26" s="2" t="s">
        <v>80</v>
      </c>
      <c r="B26" s="2" t="s">
        <v>81</v>
      </c>
      <c r="C26" s="3"/>
      <c r="D26" s="3"/>
      <c r="E26" s="3" t="s">
        <v>6</v>
      </c>
      <c r="F26" s="23" t="s">
        <v>89</v>
      </c>
      <c r="G26" s="23"/>
      <c r="H26" s="4">
        <v>2150</v>
      </c>
      <c r="I26" s="4"/>
      <c r="J26" s="4"/>
      <c r="K26" s="2" t="s">
        <v>82</v>
      </c>
      <c r="L26" s="2"/>
      <c r="M26" s="3"/>
      <c r="N26" s="2"/>
      <c r="O26" s="3"/>
      <c r="P26" s="2"/>
      <c r="Q26" s="2"/>
      <c r="R26" s="2"/>
      <c r="S26" s="2"/>
      <c r="T26" s="2"/>
      <c r="U26" s="2"/>
      <c r="V26" s="2"/>
      <c r="W26" s="2"/>
      <c r="X26" s="2"/>
      <c r="Y26" s="2"/>
      <c r="Z26" s="4"/>
      <c r="AA26" s="3"/>
      <c r="AB26" s="4"/>
      <c r="AC26" s="2"/>
      <c r="AD26" s="2"/>
      <c r="AE26" s="99"/>
      <c r="AF26" s="2"/>
      <c r="AG26" s="99"/>
      <c r="AH26" s="2"/>
      <c r="AI26" s="99"/>
      <c r="AJ26" s="2"/>
      <c r="AM26" s="96"/>
    </row>
    <row r="27" spans="1:39" s="1" customFormat="1" ht="15" hidden="1" customHeight="1" x14ac:dyDescent="0.25">
      <c r="A27" s="25" t="s">
        <v>43</v>
      </c>
      <c r="B27" s="25" t="s">
        <v>103</v>
      </c>
      <c r="C27" s="26">
        <v>42880</v>
      </c>
      <c r="D27" s="26"/>
      <c r="E27" s="26" t="s">
        <v>6</v>
      </c>
      <c r="F27" s="73" t="s">
        <v>6</v>
      </c>
      <c r="G27" s="73" t="s">
        <v>7</v>
      </c>
      <c r="H27" s="27">
        <v>392</v>
      </c>
      <c r="I27" s="27" t="s">
        <v>140</v>
      </c>
      <c r="J27" s="27"/>
      <c r="K27" s="25" t="s">
        <v>149</v>
      </c>
      <c r="L27" s="41" t="s">
        <v>144</v>
      </c>
      <c r="M27" s="47">
        <v>0</v>
      </c>
      <c r="N27" s="47">
        <v>0</v>
      </c>
      <c r="O27" s="47" t="s">
        <v>199</v>
      </c>
      <c r="P27" s="48" t="s">
        <v>199</v>
      </c>
      <c r="Q27" s="3"/>
      <c r="R27" s="4"/>
      <c r="S27" s="3"/>
      <c r="T27" s="4"/>
      <c r="U27" s="3"/>
      <c r="V27" s="4"/>
      <c r="W27" s="3"/>
      <c r="X27" s="4"/>
      <c r="Y27" s="3"/>
      <c r="Z27" s="4"/>
      <c r="AA27" s="3"/>
      <c r="AB27" s="4"/>
      <c r="AC27" s="3"/>
      <c r="AD27" s="4"/>
      <c r="AE27" s="99"/>
      <c r="AF27" s="4"/>
      <c r="AG27" s="99"/>
      <c r="AH27" s="4"/>
      <c r="AI27" s="99"/>
      <c r="AJ27" s="4"/>
      <c r="AM27" s="96"/>
    </row>
    <row r="28" spans="1:39" s="1" customFormat="1" x14ac:dyDescent="0.25">
      <c r="A28" s="25" t="s">
        <v>230</v>
      </c>
      <c r="B28" s="25" t="s">
        <v>264</v>
      </c>
      <c r="C28" s="26">
        <v>43115</v>
      </c>
      <c r="D28" s="26" t="s">
        <v>181</v>
      </c>
      <c r="E28" s="71" t="s">
        <v>216</v>
      </c>
      <c r="F28" s="25" t="s">
        <v>217</v>
      </c>
      <c r="G28" s="25" t="s">
        <v>181</v>
      </c>
      <c r="H28" s="72">
        <v>3500</v>
      </c>
      <c r="I28" s="27" t="s">
        <v>140</v>
      </c>
      <c r="J28" s="27" t="s">
        <v>191</v>
      </c>
      <c r="K28" s="25" t="s">
        <v>78</v>
      </c>
      <c r="L28" s="25"/>
      <c r="M28" s="41">
        <v>43837</v>
      </c>
      <c r="N28" s="106">
        <v>3500</v>
      </c>
      <c r="O28" s="41">
        <v>43864</v>
      </c>
      <c r="P28" s="106">
        <v>3500</v>
      </c>
      <c r="Q28" s="41">
        <v>43893</v>
      </c>
      <c r="R28" s="106">
        <v>3500</v>
      </c>
      <c r="S28" s="109">
        <v>43927</v>
      </c>
      <c r="T28" s="102">
        <v>2916.75</v>
      </c>
      <c r="U28" s="108" t="s">
        <v>271</v>
      </c>
      <c r="V28" s="108" t="s">
        <v>271</v>
      </c>
      <c r="W28" s="108" t="s">
        <v>271</v>
      </c>
      <c r="X28" s="108" t="s">
        <v>271</v>
      </c>
      <c r="Y28" s="108" t="s">
        <v>271</v>
      </c>
      <c r="Z28" s="108" t="s">
        <v>271</v>
      </c>
      <c r="AA28" s="108" t="s">
        <v>271</v>
      </c>
      <c r="AB28" s="108" t="s">
        <v>271</v>
      </c>
      <c r="AC28" s="108" t="s">
        <v>271</v>
      </c>
      <c r="AD28" s="108" t="s">
        <v>271</v>
      </c>
      <c r="AE28" s="108" t="s">
        <v>271</v>
      </c>
      <c r="AF28" s="108" t="s">
        <v>271</v>
      </c>
      <c r="AG28" s="108" t="s">
        <v>271</v>
      </c>
      <c r="AH28" s="108" t="s">
        <v>271</v>
      </c>
      <c r="AI28" s="104">
        <v>44186</v>
      </c>
      <c r="AJ28" s="106">
        <v>2500</v>
      </c>
      <c r="AM28" s="96"/>
    </row>
    <row r="29" spans="1:39" s="1" customFormat="1" x14ac:dyDescent="0.25">
      <c r="A29" s="25" t="s">
        <v>265</v>
      </c>
      <c r="B29" s="25" t="s">
        <v>268</v>
      </c>
      <c r="C29" s="26" t="s">
        <v>181</v>
      </c>
      <c r="D29" s="26" t="s">
        <v>181</v>
      </c>
      <c r="E29" s="26">
        <v>44013</v>
      </c>
      <c r="F29" s="78"/>
      <c r="G29" s="78" t="s">
        <v>181</v>
      </c>
      <c r="H29" s="27">
        <v>2253.75</v>
      </c>
      <c r="I29" s="27" t="s">
        <v>111</v>
      </c>
      <c r="J29" s="27" t="s">
        <v>267</v>
      </c>
      <c r="K29" s="25" t="s">
        <v>78</v>
      </c>
      <c r="L29" s="25" t="s">
        <v>154</v>
      </c>
      <c r="M29" s="41">
        <v>43836</v>
      </c>
      <c r="N29" s="103" t="s">
        <v>153</v>
      </c>
      <c r="O29" s="41">
        <v>43872</v>
      </c>
      <c r="P29" s="103" t="s">
        <v>153</v>
      </c>
      <c r="Q29" s="41">
        <v>43902</v>
      </c>
      <c r="R29" s="102" t="s">
        <v>153</v>
      </c>
      <c r="S29" s="109">
        <v>43927</v>
      </c>
      <c r="T29" s="102">
        <v>1000</v>
      </c>
      <c r="U29" s="109">
        <v>43957</v>
      </c>
      <c r="V29" s="41" t="s">
        <v>153</v>
      </c>
      <c r="W29" s="109">
        <v>43986</v>
      </c>
      <c r="X29" s="41" t="s">
        <v>153</v>
      </c>
      <c r="Y29" s="109">
        <v>44043</v>
      </c>
      <c r="Z29" s="103">
        <v>943.58</v>
      </c>
      <c r="AA29" s="109">
        <v>44064</v>
      </c>
      <c r="AB29" s="103">
        <v>850</v>
      </c>
      <c r="AC29" s="109">
        <v>44089</v>
      </c>
      <c r="AD29" s="103">
        <v>850</v>
      </c>
      <c r="AE29" s="104">
        <v>44123</v>
      </c>
      <c r="AF29" s="103">
        <v>850</v>
      </c>
      <c r="AG29" s="104">
        <v>44151</v>
      </c>
      <c r="AH29" s="103">
        <v>850</v>
      </c>
      <c r="AI29" s="104">
        <v>44186</v>
      </c>
      <c r="AJ29" s="103">
        <v>850</v>
      </c>
      <c r="AM29" s="96"/>
    </row>
    <row r="30" spans="1:39" s="1" customFormat="1" ht="15" hidden="1" customHeight="1" x14ac:dyDescent="0.25">
      <c r="A30" s="2" t="s">
        <v>166</v>
      </c>
      <c r="B30" s="2" t="s">
        <v>88</v>
      </c>
      <c r="C30" s="3" t="s">
        <v>181</v>
      </c>
      <c r="D30" s="26" t="s">
        <v>181</v>
      </c>
      <c r="E30" s="3" t="s">
        <v>6</v>
      </c>
      <c r="F30" s="23" t="s">
        <v>89</v>
      </c>
      <c r="G30" s="23"/>
      <c r="H30" s="4">
        <v>297.77</v>
      </c>
      <c r="I30" s="4" t="s">
        <v>170</v>
      </c>
      <c r="J30" s="4" t="s">
        <v>181</v>
      </c>
      <c r="K30" s="2" t="s">
        <v>149</v>
      </c>
      <c r="L30" s="2"/>
      <c r="M30" s="3" t="s">
        <v>181</v>
      </c>
      <c r="N30" s="2" t="s">
        <v>181</v>
      </c>
      <c r="O30" s="3" t="s">
        <v>181</v>
      </c>
      <c r="P30" s="2" t="s">
        <v>181</v>
      </c>
      <c r="Q30" s="2" t="s">
        <v>181</v>
      </c>
      <c r="R30" s="2" t="s">
        <v>181</v>
      </c>
      <c r="S30" s="4" t="s">
        <v>181</v>
      </c>
      <c r="T30" s="3" t="s">
        <v>181</v>
      </c>
      <c r="U30" s="4" t="s">
        <v>181</v>
      </c>
      <c r="V30" s="3" t="s">
        <v>181</v>
      </c>
      <c r="W30" s="4" t="s">
        <v>181</v>
      </c>
      <c r="X30" s="3" t="s">
        <v>181</v>
      </c>
      <c r="Y30" s="4" t="s">
        <v>181</v>
      </c>
      <c r="Z30" s="3" t="s">
        <v>181</v>
      </c>
      <c r="AA30" s="4" t="s">
        <v>181</v>
      </c>
      <c r="AB30" s="3" t="s">
        <v>181</v>
      </c>
      <c r="AC30" s="4" t="s">
        <v>181</v>
      </c>
      <c r="AD30" s="2" t="s">
        <v>181</v>
      </c>
      <c r="AE30" s="99" t="s">
        <v>181</v>
      </c>
      <c r="AF30" s="2" t="s">
        <v>181</v>
      </c>
      <c r="AG30" s="99" t="s">
        <v>181</v>
      </c>
      <c r="AH30" s="2" t="s">
        <v>181</v>
      </c>
      <c r="AI30" s="99" t="s">
        <v>181</v>
      </c>
      <c r="AJ30" s="2" t="s">
        <v>181</v>
      </c>
    </row>
    <row r="31" spans="1:39" s="1" customFormat="1" ht="15" hidden="1" customHeight="1" x14ac:dyDescent="0.25">
      <c r="A31" s="2" t="s">
        <v>91</v>
      </c>
      <c r="B31" s="2" t="s">
        <v>92</v>
      </c>
      <c r="C31" s="3" t="s">
        <v>181</v>
      </c>
      <c r="D31" s="26" t="s">
        <v>181</v>
      </c>
      <c r="E31" s="3" t="s">
        <v>6</v>
      </c>
      <c r="F31" s="2" t="s">
        <v>89</v>
      </c>
      <c r="G31" s="2"/>
      <c r="H31" s="4">
        <v>722.62</v>
      </c>
      <c r="I31" s="4" t="s">
        <v>165</v>
      </c>
      <c r="J31" s="4" t="s">
        <v>181</v>
      </c>
      <c r="K31" s="2" t="s">
        <v>269</v>
      </c>
      <c r="L31" s="2"/>
      <c r="M31" s="3" t="s">
        <v>181</v>
      </c>
      <c r="N31" s="2" t="s">
        <v>181</v>
      </c>
      <c r="O31" s="3" t="s">
        <v>181</v>
      </c>
      <c r="P31" s="2" t="s">
        <v>181</v>
      </c>
      <c r="Q31" s="2" t="s">
        <v>181</v>
      </c>
      <c r="R31" s="2" t="s">
        <v>181</v>
      </c>
      <c r="S31" s="2" t="s">
        <v>181</v>
      </c>
      <c r="T31" s="2" t="s">
        <v>181</v>
      </c>
      <c r="U31" s="3">
        <v>43960</v>
      </c>
      <c r="V31" s="4">
        <v>650.35</v>
      </c>
      <c r="W31" s="2" t="s">
        <v>270</v>
      </c>
      <c r="X31" s="2" t="s">
        <v>181</v>
      </c>
      <c r="Y31" s="2" t="s">
        <v>181</v>
      </c>
      <c r="Z31" s="4" t="s">
        <v>181</v>
      </c>
      <c r="AA31" s="3" t="s">
        <v>181</v>
      </c>
      <c r="AB31" s="4" t="s">
        <v>181</v>
      </c>
      <c r="AC31" s="2" t="s">
        <v>181</v>
      </c>
      <c r="AD31" s="2" t="s">
        <v>181</v>
      </c>
      <c r="AE31" s="99" t="s">
        <v>181</v>
      </c>
      <c r="AF31" s="2" t="s">
        <v>181</v>
      </c>
      <c r="AG31" s="99" t="s">
        <v>181</v>
      </c>
      <c r="AH31" s="2" t="s">
        <v>181</v>
      </c>
      <c r="AI31" s="99" t="s">
        <v>181</v>
      </c>
      <c r="AJ31" s="2" t="s">
        <v>181</v>
      </c>
    </row>
    <row r="32" spans="1:39" s="1" customFormat="1" x14ac:dyDescent="0.25">
      <c r="A32" s="2" t="s">
        <v>95</v>
      </c>
      <c r="B32" s="2" t="s">
        <v>96</v>
      </c>
      <c r="C32" s="3">
        <v>41459</v>
      </c>
      <c r="D32" s="26" t="s">
        <v>181</v>
      </c>
      <c r="E32" s="3" t="s">
        <v>6</v>
      </c>
      <c r="F32" s="2" t="s">
        <v>6</v>
      </c>
      <c r="G32" s="2" t="s">
        <v>181</v>
      </c>
      <c r="H32" s="4">
        <v>260</v>
      </c>
      <c r="I32" s="4" t="s">
        <v>147</v>
      </c>
      <c r="J32" s="4" t="s">
        <v>193</v>
      </c>
      <c r="K32" s="2" t="s">
        <v>78</v>
      </c>
      <c r="L32" s="68" t="s">
        <v>215</v>
      </c>
      <c r="M32" s="41">
        <v>43847</v>
      </c>
      <c r="N32" s="103">
        <v>250</v>
      </c>
      <c r="O32" s="41">
        <v>43879</v>
      </c>
      <c r="P32" s="103">
        <v>250</v>
      </c>
      <c r="Q32" s="41">
        <v>43907</v>
      </c>
      <c r="R32" s="103">
        <v>750</v>
      </c>
      <c r="S32" s="104">
        <v>43938</v>
      </c>
      <c r="T32" s="102">
        <v>250</v>
      </c>
      <c r="U32" s="104">
        <v>43960</v>
      </c>
      <c r="V32" s="102">
        <v>250</v>
      </c>
      <c r="W32" s="104">
        <v>43987</v>
      </c>
      <c r="X32" s="102">
        <f>1250+250</f>
        <v>1500</v>
      </c>
      <c r="Y32" s="104">
        <v>44032</v>
      </c>
      <c r="Z32" s="102">
        <v>500</v>
      </c>
      <c r="AA32" s="104">
        <v>44048</v>
      </c>
      <c r="AB32" s="102">
        <v>250</v>
      </c>
      <c r="AC32" s="104">
        <v>44092</v>
      </c>
      <c r="AD32" s="102">
        <v>1000</v>
      </c>
      <c r="AE32" s="104">
        <v>44123</v>
      </c>
      <c r="AF32" s="103">
        <v>500</v>
      </c>
      <c r="AG32" s="104">
        <v>44151</v>
      </c>
      <c r="AH32" s="103">
        <v>500</v>
      </c>
      <c r="AI32" s="104">
        <v>44186</v>
      </c>
      <c r="AJ32" s="103">
        <v>750</v>
      </c>
    </row>
    <row r="33" spans="1:39" s="1" customFormat="1" x14ac:dyDescent="0.25">
      <c r="A33" s="2" t="s">
        <v>150</v>
      </c>
      <c r="B33" s="2" t="s">
        <v>151</v>
      </c>
      <c r="C33" s="3">
        <v>43060</v>
      </c>
      <c r="D33" s="26" t="s">
        <v>181</v>
      </c>
      <c r="E33" s="3" t="s">
        <v>28</v>
      </c>
      <c r="F33" s="2" t="s">
        <v>217</v>
      </c>
      <c r="G33" s="2" t="s">
        <v>15</v>
      </c>
      <c r="H33" s="4">
        <v>4500</v>
      </c>
      <c r="I33" s="27" t="s">
        <v>110</v>
      </c>
      <c r="J33" s="27" t="s">
        <v>194</v>
      </c>
      <c r="K33" s="2" t="s">
        <v>78</v>
      </c>
      <c r="L33" s="2"/>
      <c r="M33" s="107">
        <v>43847</v>
      </c>
      <c r="N33" s="103">
        <v>4500</v>
      </c>
      <c r="O33" s="107">
        <v>43879</v>
      </c>
      <c r="P33" s="103">
        <v>4500</v>
      </c>
      <c r="Q33" s="41">
        <v>43908</v>
      </c>
      <c r="R33" s="103">
        <v>4500</v>
      </c>
      <c r="S33" s="104">
        <v>43922</v>
      </c>
      <c r="T33" s="102">
        <v>4500</v>
      </c>
      <c r="U33" s="108" t="s">
        <v>271</v>
      </c>
      <c r="V33" s="108" t="s">
        <v>271</v>
      </c>
      <c r="W33" s="108" t="s">
        <v>271</v>
      </c>
      <c r="X33" s="108" t="s">
        <v>271</v>
      </c>
      <c r="Y33" s="108" t="s">
        <v>271</v>
      </c>
      <c r="Z33" s="108" t="s">
        <v>271</v>
      </c>
      <c r="AA33" s="104">
        <v>44054</v>
      </c>
      <c r="AB33" s="102">
        <v>4500</v>
      </c>
      <c r="AC33" s="104">
        <v>44088</v>
      </c>
      <c r="AD33" s="102">
        <v>4500</v>
      </c>
      <c r="AE33" s="104">
        <v>44123</v>
      </c>
      <c r="AF33" s="103">
        <v>4500</v>
      </c>
      <c r="AG33" s="104">
        <v>44154</v>
      </c>
      <c r="AH33" s="103">
        <v>4500</v>
      </c>
      <c r="AI33" s="104">
        <v>44186</v>
      </c>
      <c r="AJ33" s="103">
        <v>4500</v>
      </c>
      <c r="AM33" s="96"/>
    </row>
    <row r="34" spans="1:39" s="1" customFormat="1" ht="15" hidden="1" customHeight="1" x14ac:dyDescent="0.25">
      <c r="A34" s="2" t="s">
        <v>97</v>
      </c>
      <c r="B34" s="2" t="s">
        <v>98</v>
      </c>
      <c r="C34" s="3"/>
      <c r="D34" s="3"/>
      <c r="E34" s="3">
        <v>43252</v>
      </c>
      <c r="F34" s="2"/>
      <c r="G34" s="2"/>
      <c r="H34" s="4">
        <v>1000</v>
      </c>
      <c r="I34" s="4"/>
      <c r="J34" s="4"/>
      <c r="K34" s="2" t="s">
        <v>82</v>
      </c>
      <c r="L34" s="2"/>
      <c r="M34" s="3"/>
      <c r="N34" s="2"/>
      <c r="O34" s="3"/>
      <c r="P34" s="2"/>
      <c r="Q34" s="2"/>
      <c r="R34" s="2"/>
      <c r="S34" s="3"/>
      <c r="T34" s="4"/>
      <c r="U34" s="3"/>
      <c r="V34" s="4"/>
      <c r="W34" s="3"/>
      <c r="X34" s="4"/>
      <c r="Y34" s="3"/>
      <c r="Z34" s="4"/>
      <c r="AA34" s="3"/>
      <c r="AB34" s="4"/>
      <c r="AC34" s="3"/>
      <c r="AD34" s="3"/>
      <c r="AE34" s="99"/>
      <c r="AF34" s="2"/>
      <c r="AG34" s="99"/>
      <c r="AH34" s="2"/>
      <c r="AI34" s="99"/>
      <c r="AJ34" s="2"/>
      <c r="AM34" s="96"/>
    </row>
    <row r="35" spans="1:39" s="1" customFormat="1" ht="15" hidden="1" customHeight="1" x14ac:dyDescent="0.25">
      <c r="A35" s="2" t="s">
        <v>101</v>
      </c>
      <c r="B35" s="2" t="s">
        <v>102</v>
      </c>
      <c r="C35" s="3" t="s">
        <v>181</v>
      </c>
      <c r="D35" s="26" t="s">
        <v>181</v>
      </c>
      <c r="E35" s="3"/>
      <c r="F35" s="2"/>
      <c r="G35" s="2"/>
      <c r="H35" s="4"/>
      <c r="I35" s="4" t="s">
        <v>164</v>
      </c>
      <c r="J35" s="4" t="s">
        <v>181</v>
      </c>
      <c r="K35" s="2" t="s">
        <v>157</v>
      </c>
      <c r="L35" s="2"/>
      <c r="M35" s="3" t="s">
        <v>181</v>
      </c>
      <c r="N35" s="2" t="s">
        <v>181</v>
      </c>
      <c r="O35" s="3" t="s">
        <v>181</v>
      </c>
      <c r="P35" s="2" t="s">
        <v>181</v>
      </c>
      <c r="Q35" s="2" t="s">
        <v>181</v>
      </c>
      <c r="R35" s="2" t="s">
        <v>181</v>
      </c>
      <c r="S35" s="98" t="s">
        <v>181</v>
      </c>
      <c r="T35" s="98" t="s">
        <v>181</v>
      </c>
      <c r="U35" s="98" t="s">
        <v>181</v>
      </c>
      <c r="V35" s="98" t="s">
        <v>181</v>
      </c>
      <c r="W35" s="98" t="s">
        <v>181</v>
      </c>
      <c r="X35" s="98" t="s">
        <v>181</v>
      </c>
      <c r="Y35" s="98" t="s">
        <v>181</v>
      </c>
      <c r="Z35" s="98" t="s">
        <v>181</v>
      </c>
      <c r="AA35" s="98" t="s">
        <v>181</v>
      </c>
      <c r="AB35" s="98" t="s">
        <v>181</v>
      </c>
      <c r="AC35" s="98" t="s">
        <v>181</v>
      </c>
      <c r="AD35" s="98" t="s">
        <v>181</v>
      </c>
      <c r="AE35" s="99" t="s">
        <v>181</v>
      </c>
      <c r="AF35" s="2" t="s">
        <v>181</v>
      </c>
      <c r="AG35" s="99" t="s">
        <v>181</v>
      </c>
      <c r="AH35" s="2" t="s">
        <v>181</v>
      </c>
      <c r="AI35" s="99" t="s">
        <v>181</v>
      </c>
      <c r="AJ35" s="2" t="s">
        <v>181</v>
      </c>
      <c r="AM35" s="96"/>
    </row>
    <row r="36" spans="1:39" s="1" customFormat="1" x14ac:dyDescent="0.25">
      <c r="A36" s="2" t="s">
        <v>158</v>
      </c>
      <c r="B36" s="2" t="s">
        <v>159</v>
      </c>
      <c r="C36" s="3" t="s">
        <v>181</v>
      </c>
      <c r="D36" s="26" t="s">
        <v>181</v>
      </c>
      <c r="E36" s="3" t="s">
        <v>181</v>
      </c>
      <c r="F36" s="2" t="s">
        <v>181</v>
      </c>
      <c r="G36" s="2" t="s">
        <v>181</v>
      </c>
      <c r="H36" s="4">
        <v>1132.8499999999999</v>
      </c>
      <c r="I36" s="27" t="s">
        <v>140</v>
      </c>
      <c r="J36" s="27" t="s">
        <v>185</v>
      </c>
      <c r="K36" s="2" t="s">
        <v>78</v>
      </c>
      <c r="L36" s="2"/>
      <c r="M36" s="107">
        <v>43833</v>
      </c>
      <c r="N36" s="103">
        <f>925.91+206.94</f>
        <v>1132.8499999999999</v>
      </c>
      <c r="O36" s="107">
        <v>43873</v>
      </c>
      <c r="P36" s="103">
        <f>925.91+206.94</f>
        <v>1132.8499999999999</v>
      </c>
      <c r="Q36" s="107">
        <v>43909</v>
      </c>
      <c r="R36" s="103">
        <f>206.94+925.91</f>
        <v>1132.8499999999999</v>
      </c>
      <c r="S36" s="104">
        <v>43938</v>
      </c>
      <c r="T36" s="102">
        <f>937.1+195.75</f>
        <v>1132.8499999999999</v>
      </c>
      <c r="U36" s="104">
        <v>43977</v>
      </c>
      <c r="V36" s="102">
        <f>937.1+195.75</f>
        <v>1132.8499999999999</v>
      </c>
      <c r="W36" s="104">
        <v>43986</v>
      </c>
      <c r="X36" s="102">
        <f>937.1+195.75</f>
        <v>1132.8499999999999</v>
      </c>
      <c r="Y36" s="104">
        <v>44022</v>
      </c>
      <c r="Z36" s="102">
        <f>1005.51+210.06</f>
        <v>1215.57</v>
      </c>
      <c r="AA36" s="104">
        <v>44050</v>
      </c>
      <c r="AB36" s="102">
        <f>210.06+1005.51</f>
        <v>1215.57</v>
      </c>
      <c r="AC36" s="104">
        <v>44078</v>
      </c>
      <c r="AD36" s="102">
        <f>1005.51+210.06</f>
        <v>1215.57</v>
      </c>
      <c r="AE36" s="104">
        <v>44109</v>
      </c>
      <c r="AF36" s="103">
        <f>1005.51+210.06</f>
        <v>1215.57</v>
      </c>
      <c r="AG36" s="104">
        <v>44145</v>
      </c>
      <c r="AH36" s="103">
        <f>1005.51+210.06</f>
        <v>1215.57</v>
      </c>
      <c r="AI36" s="104">
        <v>44186</v>
      </c>
      <c r="AJ36" s="103">
        <v>1215.57</v>
      </c>
      <c r="AM36" s="96"/>
    </row>
    <row r="37" spans="1:39" s="1" customFormat="1" x14ac:dyDescent="0.25">
      <c r="A37" s="2" t="s">
        <v>37</v>
      </c>
      <c r="B37" s="2" t="s">
        <v>172</v>
      </c>
      <c r="C37" s="3">
        <v>34719</v>
      </c>
      <c r="D37" s="115" t="s">
        <v>273</v>
      </c>
      <c r="E37" s="3"/>
      <c r="F37" s="2" t="s">
        <v>181</v>
      </c>
      <c r="G37" s="2" t="s">
        <v>181</v>
      </c>
      <c r="H37" s="4" t="s">
        <v>139</v>
      </c>
      <c r="I37" s="4" t="s">
        <v>170</v>
      </c>
      <c r="J37" s="4" t="s">
        <v>195</v>
      </c>
      <c r="K37" s="2" t="s">
        <v>78</v>
      </c>
      <c r="L37" s="2"/>
      <c r="M37" s="48">
        <v>0</v>
      </c>
      <c r="N37" s="48">
        <v>0</v>
      </c>
      <c r="O37" s="48">
        <v>0</v>
      </c>
      <c r="P37" s="48">
        <v>0</v>
      </c>
      <c r="Q37" s="48">
        <v>0</v>
      </c>
      <c r="R37" s="48">
        <v>0</v>
      </c>
      <c r="S37" s="104" t="s">
        <v>181</v>
      </c>
      <c r="T37" s="108">
        <v>0</v>
      </c>
      <c r="U37" s="108">
        <v>0</v>
      </c>
      <c r="V37" s="108">
        <v>0</v>
      </c>
      <c r="W37" s="108">
        <v>0</v>
      </c>
      <c r="X37" s="102" t="s">
        <v>181</v>
      </c>
      <c r="Y37" s="108">
        <v>0</v>
      </c>
      <c r="Z37" s="108">
        <v>0</v>
      </c>
      <c r="AA37" s="108">
        <v>0</v>
      </c>
      <c r="AB37" s="108">
        <v>0</v>
      </c>
      <c r="AC37" s="104" t="s">
        <v>181</v>
      </c>
      <c r="AD37" s="102" t="s">
        <v>181</v>
      </c>
      <c r="AE37" s="104" t="s">
        <v>181</v>
      </c>
      <c r="AF37" s="103" t="s">
        <v>181</v>
      </c>
      <c r="AG37" s="104" t="s">
        <v>181</v>
      </c>
      <c r="AH37" s="103" t="s">
        <v>181</v>
      </c>
      <c r="AI37" s="104" t="s">
        <v>181</v>
      </c>
      <c r="AJ37" s="103" t="s">
        <v>181</v>
      </c>
      <c r="AM37" s="96"/>
    </row>
    <row r="38" spans="1:39" s="1" customFormat="1" x14ac:dyDescent="0.25">
      <c r="A38" s="2" t="s">
        <v>38</v>
      </c>
      <c r="B38" s="2" t="s">
        <v>180</v>
      </c>
      <c r="C38" s="3" t="s">
        <v>181</v>
      </c>
      <c r="D38" s="3" t="s">
        <v>181</v>
      </c>
      <c r="E38" s="3" t="s">
        <v>181</v>
      </c>
      <c r="F38" s="2" t="s">
        <v>181</v>
      </c>
      <c r="G38" s="2" t="s">
        <v>181</v>
      </c>
      <c r="H38" s="4" t="s">
        <v>139</v>
      </c>
      <c r="I38" s="4" t="s">
        <v>170</v>
      </c>
      <c r="J38" s="4" t="s">
        <v>198</v>
      </c>
      <c r="K38" s="2" t="s">
        <v>78</v>
      </c>
      <c r="L38" s="2"/>
      <c r="M38" s="48">
        <v>0</v>
      </c>
      <c r="N38" s="48">
        <v>0</v>
      </c>
      <c r="O38" s="48">
        <v>0</v>
      </c>
      <c r="P38" s="48">
        <v>0</v>
      </c>
      <c r="Q38" s="48">
        <v>0</v>
      </c>
      <c r="R38" s="48">
        <v>0</v>
      </c>
      <c r="S38" s="104" t="s">
        <v>181</v>
      </c>
      <c r="T38" s="108">
        <v>0</v>
      </c>
      <c r="U38" s="108">
        <v>0</v>
      </c>
      <c r="V38" s="108">
        <v>0</v>
      </c>
      <c r="W38" s="108">
        <v>0</v>
      </c>
      <c r="X38" s="102" t="s">
        <v>181</v>
      </c>
      <c r="Y38" s="108">
        <v>0</v>
      </c>
      <c r="Z38" s="108">
        <v>0</v>
      </c>
      <c r="AA38" s="108">
        <v>0</v>
      </c>
      <c r="AB38" s="108">
        <v>0</v>
      </c>
      <c r="AC38" s="104" t="s">
        <v>181</v>
      </c>
      <c r="AD38" s="102" t="s">
        <v>181</v>
      </c>
      <c r="AE38" s="104" t="s">
        <v>181</v>
      </c>
      <c r="AF38" s="103" t="s">
        <v>181</v>
      </c>
      <c r="AG38" s="104" t="s">
        <v>181</v>
      </c>
      <c r="AH38" s="103" t="s">
        <v>181</v>
      </c>
      <c r="AI38" s="104" t="s">
        <v>181</v>
      </c>
      <c r="AJ38" s="103" t="s">
        <v>181</v>
      </c>
      <c r="AM38" s="96"/>
    </row>
    <row r="39" spans="1:39" s="1" customFormat="1" x14ac:dyDescent="0.25">
      <c r="A39" s="2" t="s">
        <v>176</v>
      </c>
      <c r="B39" s="2" t="s">
        <v>179</v>
      </c>
      <c r="C39" s="3" t="s">
        <v>181</v>
      </c>
      <c r="D39" s="3" t="s">
        <v>181</v>
      </c>
      <c r="E39" s="3" t="s">
        <v>181</v>
      </c>
      <c r="F39" s="2" t="s">
        <v>181</v>
      </c>
      <c r="G39" s="2" t="s">
        <v>181</v>
      </c>
      <c r="H39" s="4" t="s">
        <v>139</v>
      </c>
      <c r="I39" s="4" t="s">
        <v>170</v>
      </c>
      <c r="J39" s="4" t="s">
        <v>197</v>
      </c>
      <c r="K39" s="2" t="s">
        <v>78</v>
      </c>
      <c r="L39" s="2"/>
      <c r="M39" s="107">
        <v>43847</v>
      </c>
      <c r="N39" s="103">
        <v>627.88</v>
      </c>
      <c r="O39" s="107">
        <v>43882</v>
      </c>
      <c r="P39" s="103">
        <v>727.8</v>
      </c>
      <c r="Q39" s="107">
        <v>43907</v>
      </c>
      <c r="R39" s="103">
        <v>727.8</v>
      </c>
      <c r="S39" s="104">
        <v>43922</v>
      </c>
      <c r="T39" s="102">
        <v>549.23</v>
      </c>
      <c r="U39" s="104">
        <v>43952</v>
      </c>
      <c r="V39" s="108">
        <v>643.55999999999995</v>
      </c>
      <c r="W39" s="104">
        <v>43983</v>
      </c>
      <c r="X39" s="102">
        <v>434.73</v>
      </c>
      <c r="Y39" s="107">
        <v>44022</v>
      </c>
      <c r="Z39" s="102">
        <v>576.80999999999995</v>
      </c>
      <c r="AA39" s="104">
        <v>44046</v>
      </c>
      <c r="AB39" s="102">
        <v>505.81</v>
      </c>
      <c r="AC39" s="104">
        <v>44097</v>
      </c>
      <c r="AD39" s="102">
        <v>533.84</v>
      </c>
      <c r="AE39" s="104">
        <v>44130</v>
      </c>
      <c r="AF39" s="103">
        <v>495.77</v>
      </c>
      <c r="AG39" s="104">
        <v>44158</v>
      </c>
      <c r="AH39" s="103">
        <v>523.38</v>
      </c>
      <c r="AI39" s="104">
        <v>44186</v>
      </c>
      <c r="AJ39" s="103">
        <v>501.86</v>
      </c>
      <c r="AM39" s="96"/>
    </row>
    <row r="40" spans="1:39" s="1" customFormat="1" x14ac:dyDescent="0.25">
      <c r="A40" s="2" t="s">
        <v>177</v>
      </c>
      <c r="B40" s="2" t="s">
        <v>178</v>
      </c>
      <c r="C40" s="3" t="s">
        <v>181</v>
      </c>
      <c r="D40" s="3" t="s">
        <v>181</v>
      </c>
      <c r="E40" s="3" t="s">
        <v>181</v>
      </c>
      <c r="F40" s="2" t="s">
        <v>181</v>
      </c>
      <c r="G40" s="2" t="s">
        <v>181</v>
      </c>
      <c r="H40" s="4" t="s">
        <v>139</v>
      </c>
      <c r="I40" s="4" t="s">
        <v>170</v>
      </c>
      <c r="J40" s="4" t="s">
        <v>197</v>
      </c>
      <c r="K40" s="2" t="s">
        <v>78</v>
      </c>
      <c r="L40" s="2"/>
      <c r="M40" s="107">
        <v>43847</v>
      </c>
      <c r="N40" s="103">
        <v>135.47</v>
      </c>
      <c r="O40" s="107">
        <v>43882</v>
      </c>
      <c r="P40" s="103">
        <v>57.63</v>
      </c>
      <c r="Q40" s="107">
        <v>43907</v>
      </c>
      <c r="R40" s="103">
        <v>57.63</v>
      </c>
      <c r="S40" s="104">
        <v>43922</v>
      </c>
      <c r="T40" s="102">
        <v>86</v>
      </c>
      <c r="U40" s="104">
        <v>43952</v>
      </c>
      <c r="V40" s="108">
        <v>53.82</v>
      </c>
      <c r="W40" s="104">
        <v>43983</v>
      </c>
      <c r="X40" s="102">
        <v>71.010000000000005</v>
      </c>
      <c r="Y40" s="107">
        <v>44022</v>
      </c>
      <c r="Z40" s="102">
        <v>71.010000000000005</v>
      </c>
      <c r="AA40" s="104">
        <v>44046</v>
      </c>
      <c r="AB40" s="102">
        <v>73.38</v>
      </c>
      <c r="AC40" s="104">
        <v>44097</v>
      </c>
      <c r="AD40" s="102">
        <v>75.75</v>
      </c>
      <c r="AE40" s="104">
        <v>44130</v>
      </c>
      <c r="AF40" s="103">
        <v>68.650000000000006</v>
      </c>
      <c r="AG40" s="104">
        <v>44158</v>
      </c>
      <c r="AH40" s="103">
        <v>85.16</v>
      </c>
      <c r="AI40" s="104">
        <v>44186</v>
      </c>
      <c r="AJ40" s="103">
        <v>77.14</v>
      </c>
      <c r="AM40" s="96"/>
    </row>
    <row r="41" spans="1:39" s="1" customFormat="1" x14ac:dyDescent="0.25">
      <c r="A41" s="2" t="s">
        <v>160</v>
      </c>
      <c r="B41" s="2" t="s">
        <v>161</v>
      </c>
      <c r="C41" s="3" t="s">
        <v>181</v>
      </c>
      <c r="D41" s="3" t="s">
        <v>181</v>
      </c>
      <c r="E41" s="3" t="s">
        <v>181</v>
      </c>
      <c r="F41" s="2" t="s">
        <v>181</v>
      </c>
      <c r="G41" s="2" t="s">
        <v>272</v>
      </c>
      <c r="H41" s="4" t="s">
        <v>139</v>
      </c>
      <c r="I41" s="4" t="s">
        <v>170</v>
      </c>
      <c r="J41" s="4" t="s">
        <v>196</v>
      </c>
      <c r="K41" s="2" t="s">
        <v>78</v>
      </c>
      <c r="L41" s="2"/>
      <c r="M41" s="107">
        <v>43832</v>
      </c>
      <c r="N41" s="103">
        <v>257.02</v>
      </c>
      <c r="O41" s="107">
        <v>43865</v>
      </c>
      <c r="P41" s="103">
        <v>257.02</v>
      </c>
      <c r="Q41" s="107">
        <v>43893</v>
      </c>
      <c r="R41" s="103">
        <v>257.02</v>
      </c>
      <c r="S41" s="104">
        <v>43924</v>
      </c>
      <c r="T41" s="102">
        <v>257.02</v>
      </c>
      <c r="U41" s="107">
        <v>43977</v>
      </c>
      <c r="V41" s="102">
        <v>257.02</v>
      </c>
      <c r="W41" s="104" t="s">
        <v>181</v>
      </c>
      <c r="X41" s="102" t="s">
        <v>181</v>
      </c>
      <c r="Y41" s="107" t="s">
        <v>181</v>
      </c>
      <c r="Z41" s="103" t="s">
        <v>181</v>
      </c>
      <c r="AA41" s="107" t="s">
        <v>181</v>
      </c>
      <c r="AB41" s="102" t="s">
        <v>181</v>
      </c>
      <c r="AC41" s="104" t="s">
        <v>181</v>
      </c>
      <c r="AD41" s="102" t="s">
        <v>181</v>
      </c>
      <c r="AE41" s="104" t="s">
        <v>181</v>
      </c>
      <c r="AF41" s="103" t="s">
        <v>181</v>
      </c>
      <c r="AG41" s="104" t="s">
        <v>181</v>
      </c>
      <c r="AH41" s="103" t="s">
        <v>181</v>
      </c>
      <c r="AI41" s="104" t="s">
        <v>181</v>
      </c>
      <c r="AJ41" s="103" t="s">
        <v>181</v>
      </c>
      <c r="AM41" s="96"/>
    </row>
    <row r="42" spans="1:39" s="1" customFormat="1" ht="15" hidden="1" customHeight="1" x14ac:dyDescent="0.25">
      <c r="A42" s="2" t="s">
        <v>163</v>
      </c>
      <c r="B42" s="2" t="s">
        <v>162</v>
      </c>
      <c r="C42" s="3" t="s">
        <v>181</v>
      </c>
      <c r="D42" s="3" t="s">
        <v>181</v>
      </c>
      <c r="E42" s="3" t="s">
        <v>181</v>
      </c>
      <c r="F42" s="2" t="s">
        <v>181</v>
      </c>
      <c r="G42" s="2" t="s">
        <v>181</v>
      </c>
      <c r="H42" s="4" t="s">
        <v>139</v>
      </c>
      <c r="I42" s="4" t="s">
        <v>170</v>
      </c>
      <c r="J42" s="4" t="s">
        <v>149</v>
      </c>
      <c r="K42" s="2"/>
      <c r="L42" s="2"/>
      <c r="M42" s="54" t="s">
        <v>181</v>
      </c>
      <c r="N42" s="4" t="s">
        <v>181</v>
      </c>
      <c r="O42" s="54" t="s">
        <v>181</v>
      </c>
      <c r="P42" s="4" t="s">
        <v>181</v>
      </c>
      <c r="Q42" s="54" t="s">
        <v>181</v>
      </c>
      <c r="R42" s="4" t="s">
        <v>181</v>
      </c>
      <c r="S42" s="98" t="s">
        <v>181</v>
      </c>
      <c r="T42" s="67" t="s">
        <v>181</v>
      </c>
      <c r="U42" s="54" t="s">
        <v>181</v>
      </c>
      <c r="V42" s="98" t="s">
        <v>181</v>
      </c>
      <c r="W42" s="99" t="s">
        <v>181</v>
      </c>
      <c r="X42" s="98" t="s">
        <v>181</v>
      </c>
      <c r="Y42" s="54" t="s">
        <v>181</v>
      </c>
      <c r="Z42" s="54" t="s">
        <v>181</v>
      </c>
      <c r="AA42" s="54" t="s">
        <v>181</v>
      </c>
      <c r="AB42" s="98" t="s">
        <v>181</v>
      </c>
      <c r="AC42" s="99" t="s">
        <v>181</v>
      </c>
      <c r="AD42" s="98" t="s">
        <v>181</v>
      </c>
      <c r="AE42" s="99"/>
      <c r="AF42" s="4"/>
      <c r="AG42" s="99"/>
      <c r="AH42" s="4"/>
      <c r="AI42" s="99"/>
      <c r="AJ42" s="4"/>
      <c r="AM42" s="96"/>
    </row>
    <row r="43" spans="1:39" s="1" customFormat="1" x14ac:dyDescent="0.25">
      <c r="A43" s="2" t="s">
        <v>167</v>
      </c>
      <c r="B43" s="2" t="s">
        <v>182</v>
      </c>
      <c r="C43" s="3" t="s">
        <v>181</v>
      </c>
      <c r="D43" s="3" t="s">
        <v>181</v>
      </c>
      <c r="E43" s="3" t="s">
        <v>181</v>
      </c>
      <c r="F43" s="2" t="s">
        <v>181</v>
      </c>
      <c r="G43" s="2" t="s">
        <v>181</v>
      </c>
      <c r="H43" s="4" t="s">
        <v>139</v>
      </c>
      <c r="I43" s="4" t="s">
        <v>170</v>
      </c>
      <c r="J43" s="4" t="s">
        <v>196</v>
      </c>
      <c r="K43" s="2" t="s">
        <v>78</v>
      </c>
      <c r="L43" s="2"/>
      <c r="M43" s="107">
        <v>43839</v>
      </c>
      <c r="N43" s="103">
        <v>2166.08</v>
      </c>
      <c r="O43" s="107">
        <v>43871</v>
      </c>
      <c r="P43" s="103">
        <v>2166.08</v>
      </c>
      <c r="Q43" s="107">
        <v>43901</v>
      </c>
      <c r="R43" s="103">
        <v>2166.08</v>
      </c>
      <c r="S43" s="104">
        <v>43936</v>
      </c>
      <c r="T43" s="102">
        <v>2166.08</v>
      </c>
      <c r="U43" s="107">
        <v>43977</v>
      </c>
      <c r="V43" s="102">
        <v>2166.08</v>
      </c>
      <c r="W43" s="104">
        <v>43992</v>
      </c>
      <c r="X43" s="102">
        <v>1685.59</v>
      </c>
      <c r="Y43" s="107">
        <v>44022</v>
      </c>
      <c r="Z43" s="103">
        <v>1737.72</v>
      </c>
      <c r="AA43" s="107">
        <v>44055</v>
      </c>
      <c r="AB43" s="102">
        <v>649.25</v>
      </c>
      <c r="AC43" s="104">
        <v>44097</v>
      </c>
      <c r="AD43" s="102">
        <v>1113.19</v>
      </c>
      <c r="AE43" s="104">
        <v>44113</v>
      </c>
      <c r="AF43" s="103">
        <v>1314.26</v>
      </c>
      <c r="AG43" s="104">
        <v>44146</v>
      </c>
      <c r="AH43" s="103">
        <v>1326.76</v>
      </c>
      <c r="AI43" s="104">
        <v>44186</v>
      </c>
      <c r="AJ43" s="103">
        <v>2395.5500000000002</v>
      </c>
      <c r="AM43" s="96"/>
    </row>
    <row r="44" spans="1:39" s="1" customFormat="1" x14ac:dyDescent="0.25">
      <c r="A44" s="2" t="s">
        <v>234</v>
      </c>
      <c r="B44" s="2" t="s">
        <v>200</v>
      </c>
      <c r="C44" s="3" t="s">
        <v>181</v>
      </c>
      <c r="D44" s="3" t="s">
        <v>181</v>
      </c>
      <c r="E44" s="3" t="s">
        <v>181</v>
      </c>
      <c r="F44" s="2" t="s">
        <v>181</v>
      </c>
      <c r="G44" s="2" t="s">
        <v>181</v>
      </c>
      <c r="H44" s="4">
        <v>99.9</v>
      </c>
      <c r="I44" s="4" t="s">
        <v>170</v>
      </c>
      <c r="J44" s="4" t="s">
        <v>208</v>
      </c>
      <c r="K44" s="2" t="s">
        <v>78</v>
      </c>
      <c r="L44" s="2"/>
      <c r="M44" s="107">
        <v>43837</v>
      </c>
      <c r="N44" s="103">
        <v>99.89</v>
      </c>
      <c r="O44" s="107">
        <v>43865</v>
      </c>
      <c r="P44" s="103">
        <v>99.89</v>
      </c>
      <c r="Q44" s="107">
        <v>43907</v>
      </c>
      <c r="R44" s="103">
        <v>99.89</v>
      </c>
      <c r="S44" s="107">
        <v>43927</v>
      </c>
      <c r="T44" s="102">
        <v>99.89</v>
      </c>
      <c r="U44" s="107">
        <v>43977</v>
      </c>
      <c r="V44" s="102">
        <v>99.89</v>
      </c>
      <c r="W44" s="104">
        <v>44004</v>
      </c>
      <c r="X44" s="102">
        <v>99.89</v>
      </c>
      <c r="Y44" s="107">
        <v>44015</v>
      </c>
      <c r="Z44" s="102">
        <v>99.89</v>
      </c>
      <c r="AA44" s="107">
        <v>44046</v>
      </c>
      <c r="AB44" s="103">
        <v>103.62</v>
      </c>
      <c r="AC44" s="107">
        <v>44077</v>
      </c>
      <c r="AD44" s="103">
        <v>103.62</v>
      </c>
      <c r="AE44" s="104">
        <v>44125</v>
      </c>
      <c r="AF44" s="103">
        <v>105.48</v>
      </c>
      <c r="AG44" s="104">
        <v>44138</v>
      </c>
      <c r="AH44" s="103">
        <v>105.48</v>
      </c>
      <c r="AI44" s="104">
        <v>44186</v>
      </c>
      <c r="AJ44" s="103">
        <v>105.48</v>
      </c>
      <c r="AM44" s="96"/>
    </row>
    <row r="45" spans="1:39" s="1" customFormat="1" hidden="1" x14ac:dyDescent="0.25">
      <c r="A45" s="2" t="s">
        <v>168</v>
      </c>
      <c r="B45" s="2" t="s">
        <v>169</v>
      </c>
      <c r="C45" s="3" t="s">
        <v>181</v>
      </c>
      <c r="D45" s="3" t="s">
        <v>181</v>
      </c>
      <c r="E45" s="3" t="s">
        <v>181</v>
      </c>
      <c r="F45" s="2" t="s">
        <v>181</v>
      </c>
      <c r="G45" s="2" t="s">
        <v>181</v>
      </c>
      <c r="H45" s="4" t="s">
        <v>139</v>
      </c>
      <c r="I45" s="4" t="s">
        <v>170</v>
      </c>
      <c r="J45" s="4" t="s">
        <v>149</v>
      </c>
      <c r="K45" s="2"/>
      <c r="L45" s="2"/>
      <c r="M45" s="54" t="s">
        <v>181</v>
      </c>
      <c r="N45" s="4" t="s">
        <v>181</v>
      </c>
      <c r="O45" s="54" t="s">
        <v>181</v>
      </c>
      <c r="P45" s="4" t="s">
        <v>181</v>
      </c>
      <c r="Q45" s="54" t="s">
        <v>181</v>
      </c>
      <c r="R45" s="4" t="s">
        <v>181</v>
      </c>
      <c r="S45" s="54" t="s">
        <v>181</v>
      </c>
      <c r="T45" s="67" t="s">
        <v>181</v>
      </c>
      <c r="U45" s="54" t="s">
        <v>181</v>
      </c>
      <c r="V45" s="4" t="s">
        <v>181</v>
      </c>
      <c r="W45" s="99" t="s">
        <v>181</v>
      </c>
      <c r="X45" s="4" t="s">
        <v>181</v>
      </c>
      <c r="Y45" s="54" t="s">
        <v>181</v>
      </c>
      <c r="Z45" s="47" t="s">
        <v>181</v>
      </c>
      <c r="AA45" s="54" t="s">
        <v>181</v>
      </c>
      <c r="AB45" s="47" t="s">
        <v>181</v>
      </c>
      <c r="AC45" s="54" t="s">
        <v>181</v>
      </c>
      <c r="AD45" s="4" t="s">
        <v>181</v>
      </c>
      <c r="AE45" s="99" t="s">
        <v>181</v>
      </c>
      <c r="AF45" s="4"/>
      <c r="AG45" s="99"/>
      <c r="AH45" s="4"/>
      <c r="AI45" s="99"/>
      <c r="AJ45" s="4"/>
    </row>
    <row r="46" spans="1:39" s="1" customFormat="1" x14ac:dyDescent="0.25">
      <c r="A46" s="2" t="s">
        <v>233</v>
      </c>
      <c r="B46" s="2" t="s">
        <v>235</v>
      </c>
      <c r="C46" s="3" t="s">
        <v>181</v>
      </c>
      <c r="D46" s="3" t="s">
        <v>181</v>
      </c>
      <c r="E46" s="3" t="s">
        <v>181</v>
      </c>
      <c r="F46" s="2" t="s">
        <v>181</v>
      </c>
      <c r="G46" s="2" t="s">
        <v>181</v>
      </c>
      <c r="H46" s="4">
        <v>119.9</v>
      </c>
      <c r="I46" s="4" t="s">
        <v>170</v>
      </c>
      <c r="J46" s="4" t="s">
        <v>208</v>
      </c>
      <c r="K46" s="2" t="s">
        <v>78</v>
      </c>
      <c r="L46" s="2"/>
      <c r="M46" s="107">
        <v>43837</v>
      </c>
      <c r="N46" s="103">
        <v>119.91</v>
      </c>
      <c r="O46" s="107">
        <v>43865</v>
      </c>
      <c r="P46" s="103">
        <v>119.91</v>
      </c>
      <c r="Q46" s="107">
        <v>43907</v>
      </c>
      <c r="R46" s="103">
        <v>119.91</v>
      </c>
      <c r="S46" s="107">
        <v>43927</v>
      </c>
      <c r="T46" s="102">
        <v>119.91</v>
      </c>
      <c r="U46" s="107">
        <v>43977</v>
      </c>
      <c r="V46" s="102">
        <v>119.91</v>
      </c>
      <c r="W46" s="104">
        <v>44004</v>
      </c>
      <c r="X46" s="102">
        <v>119.91</v>
      </c>
      <c r="Y46" s="107">
        <v>44015</v>
      </c>
      <c r="Z46" s="102">
        <v>119.91</v>
      </c>
      <c r="AA46" s="107">
        <v>44046</v>
      </c>
      <c r="AB46" s="103">
        <v>124.57</v>
      </c>
      <c r="AC46" s="107">
        <v>44077</v>
      </c>
      <c r="AD46" s="103">
        <v>124.57</v>
      </c>
      <c r="AE46" s="104">
        <v>44130</v>
      </c>
      <c r="AF46" s="103">
        <v>126.9</v>
      </c>
      <c r="AG46" s="104">
        <v>44138</v>
      </c>
      <c r="AH46" s="103">
        <v>126.9</v>
      </c>
      <c r="AI46" s="104">
        <v>44186</v>
      </c>
      <c r="AJ46" s="103">
        <v>126.9</v>
      </c>
    </row>
    <row r="47" spans="1:39" s="84" customFormat="1" x14ac:dyDescent="0.25">
      <c r="A47" s="49"/>
      <c r="B47" s="2"/>
      <c r="C47" s="3"/>
      <c r="D47" s="3"/>
      <c r="E47" s="81"/>
      <c r="F47" s="49"/>
      <c r="G47" s="49"/>
      <c r="H47" s="4"/>
      <c r="I47" s="4"/>
      <c r="J47" s="4"/>
      <c r="K47" s="49" t="s">
        <v>78</v>
      </c>
      <c r="L47" s="2"/>
      <c r="M47" s="82"/>
      <c r="N47" s="83">
        <f>SUBTOTAL(9,N5:N45)</f>
        <v>22417.130000000005</v>
      </c>
      <c r="O47" s="82"/>
      <c r="P47" s="83">
        <f>SUBTOTAL(9,P5:P45)</f>
        <v>21586.42</v>
      </c>
      <c r="Q47" s="82"/>
      <c r="R47" s="83">
        <f>SUBTOTAL(9,R5:R45)</f>
        <v>22459.689999999995</v>
      </c>
      <c r="S47" s="82"/>
      <c r="T47" s="83">
        <f>SUBTOTAL(9,T5:T45)</f>
        <v>23641.799999999996</v>
      </c>
      <c r="U47" s="82"/>
      <c r="V47" s="83">
        <f>SUBTOTAL(9,V5:V45)</f>
        <v>13798.769999999999</v>
      </c>
      <c r="W47" s="82"/>
      <c r="X47" s="83">
        <f>SUBTOTAL(9,X5:X45)</f>
        <v>14560.279999999999</v>
      </c>
      <c r="Y47" s="82"/>
      <c r="Z47" s="83">
        <f>SUBTOTAL(9,Z5:Z45)</f>
        <v>15404.019999999999</v>
      </c>
      <c r="AA47" s="82"/>
      <c r="AB47" s="83">
        <f>SUBTOTAL(9,AB5:AB45)</f>
        <v>18617.686666666668</v>
      </c>
      <c r="AC47" s="81"/>
      <c r="AD47" s="83">
        <f>SUBTOTAL(9,AD5:AD45)</f>
        <v>18721.179999999997</v>
      </c>
      <c r="AE47" s="81"/>
      <c r="AF47" s="83">
        <f>SUBTOTAL(9,AF5:AF45)</f>
        <v>20766.39</v>
      </c>
      <c r="AG47" s="81"/>
      <c r="AH47" s="83">
        <f>SUBTOTAL(9,AH5:AH45)</f>
        <v>17273.32</v>
      </c>
      <c r="AI47" s="81"/>
      <c r="AJ47" s="83">
        <f>SUBTOTAL(9,AJ5:AJ45)</f>
        <v>23993.279999999999</v>
      </c>
    </row>
    <row r="48" spans="1:39" s="1" customFormat="1" x14ac:dyDescent="0.25">
      <c r="A48" s="55" t="s">
        <v>61</v>
      </c>
      <c r="B48" s="56"/>
      <c r="C48" s="56"/>
      <c r="D48" s="56"/>
      <c r="E48" s="56"/>
      <c r="F48" s="56"/>
      <c r="G48" s="56"/>
      <c r="H48" s="56"/>
      <c r="I48" s="56"/>
      <c r="J48" s="56"/>
      <c r="K48" s="56" t="s">
        <v>78</v>
      </c>
      <c r="L48" s="56"/>
      <c r="M48" s="57"/>
      <c r="N48" s="58"/>
      <c r="O48" s="57"/>
      <c r="P48" s="58"/>
      <c r="Q48" s="57"/>
      <c r="R48" s="58"/>
      <c r="S48" s="57"/>
      <c r="T48" s="58"/>
      <c r="U48" s="57"/>
      <c r="V48" s="58"/>
      <c r="W48" s="57"/>
      <c r="X48" s="58"/>
      <c r="Y48" s="57"/>
      <c r="Z48" s="58"/>
      <c r="AA48" s="57"/>
      <c r="AB48" s="58"/>
      <c r="AC48" s="57"/>
      <c r="AD48" s="58"/>
      <c r="AE48" s="57"/>
      <c r="AF48" s="58"/>
      <c r="AG48" s="57"/>
      <c r="AH48" s="58"/>
      <c r="AI48" s="57"/>
      <c r="AJ48" s="58"/>
    </row>
    <row r="49" spans="1:40" s="1" customFormat="1" hidden="1" x14ac:dyDescent="0.25">
      <c r="A49" s="2" t="s">
        <v>242</v>
      </c>
      <c r="B49" s="2" t="s">
        <v>175</v>
      </c>
      <c r="C49" s="3">
        <v>43453</v>
      </c>
      <c r="D49" s="3" t="s">
        <v>181</v>
      </c>
      <c r="E49" s="3" t="s">
        <v>181</v>
      </c>
      <c r="F49" s="2" t="s">
        <v>181</v>
      </c>
      <c r="G49" s="2" t="s">
        <v>181</v>
      </c>
      <c r="H49" s="4" t="s">
        <v>181</v>
      </c>
      <c r="I49" s="4" t="s">
        <v>181</v>
      </c>
      <c r="J49" s="4" t="s">
        <v>181</v>
      </c>
      <c r="K49" s="2" t="s">
        <v>78</v>
      </c>
      <c r="L49" s="2"/>
      <c r="M49" s="107" t="s">
        <v>181</v>
      </c>
      <c r="N49" s="103" t="s">
        <v>181</v>
      </c>
      <c r="O49" s="41" t="s">
        <v>181</v>
      </c>
      <c r="P49" s="103" t="s">
        <v>181</v>
      </c>
      <c r="Q49" s="41">
        <v>43902</v>
      </c>
      <c r="R49" s="103">
        <v>10000</v>
      </c>
      <c r="S49" s="48" t="s">
        <v>181</v>
      </c>
      <c r="T49" s="48" t="s">
        <v>181</v>
      </c>
      <c r="U49" s="107" t="s">
        <v>181</v>
      </c>
      <c r="V49" s="48" t="s">
        <v>181</v>
      </c>
      <c r="W49" s="107" t="s">
        <v>181</v>
      </c>
      <c r="X49" s="48" t="s">
        <v>181</v>
      </c>
      <c r="Y49" s="107" t="s">
        <v>181</v>
      </c>
      <c r="Z49" s="48" t="s">
        <v>181</v>
      </c>
      <c r="AA49" s="107" t="s">
        <v>181</v>
      </c>
      <c r="AB49" s="48" t="s">
        <v>181</v>
      </c>
      <c r="AC49" s="41" t="s">
        <v>181</v>
      </c>
      <c r="AD49" s="103" t="s">
        <v>181</v>
      </c>
      <c r="AE49" s="41" t="s">
        <v>181</v>
      </c>
      <c r="AF49" s="103" t="s">
        <v>181</v>
      </c>
      <c r="AG49" s="41" t="s">
        <v>181</v>
      </c>
      <c r="AH49" s="103" t="s">
        <v>181</v>
      </c>
      <c r="AI49" s="41" t="s">
        <v>181</v>
      </c>
      <c r="AJ49" s="103" t="s">
        <v>181</v>
      </c>
      <c r="AL49" s="93"/>
    </row>
    <row r="50" spans="1:40" s="1" customFormat="1" hidden="1" x14ac:dyDescent="0.25">
      <c r="A50" s="35" t="s">
        <v>260</v>
      </c>
      <c r="B50" s="36" t="s">
        <v>201</v>
      </c>
      <c r="C50" s="37" t="s">
        <v>181</v>
      </c>
      <c r="D50" s="37" t="s">
        <v>181</v>
      </c>
      <c r="E50" s="37" t="s">
        <v>181</v>
      </c>
      <c r="F50" s="36" t="s">
        <v>181</v>
      </c>
      <c r="G50" s="36" t="s">
        <v>181</v>
      </c>
      <c r="H50" s="38" t="s">
        <v>181</v>
      </c>
      <c r="I50" s="38" t="s">
        <v>181</v>
      </c>
      <c r="J50" s="38" t="s">
        <v>181</v>
      </c>
      <c r="K50" s="2" t="s">
        <v>78</v>
      </c>
      <c r="L50" s="36"/>
      <c r="M50" s="110" t="s">
        <v>181</v>
      </c>
      <c r="N50" s="111" t="s">
        <v>181</v>
      </c>
      <c r="O50" s="112">
        <v>43881</v>
      </c>
      <c r="P50" s="111">
        <v>10000</v>
      </c>
      <c r="Q50" s="112" t="s">
        <v>181</v>
      </c>
      <c r="R50" s="111" t="s">
        <v>181</v>
      </c>
      <c r="S50" s="113" t="s">
        <v>181</v>
      </c>
      <c r="T50" s="113" t="s">
        <v>181</v>
      </c>
      <c r="U50" s="110" t="s">
        <v>181</v>
      </c>
      <c r="V50" s="113" t="s">
        <v>181</v>
      </c>
      <c r="W50" s="110" t="s">
        <v>181</v>
      </c>
      <c r="X50" s="113" t="s">
        <v>181</v>
      </c>
      <c r="Y50" s="110" t="s">
        <v>181</v>
      </c>
      <c r="Z50" s="113" t="s">
        <v>181</v>
      </c>
      <c r="AA50" s="107" t="s">
        <v>181</v>
      </c>
      <c r="AB50" s="113" t="s">
        <v>181</v>
      </c>
      <c r="AC50" s="112" t="s">
        <v>181</v>
      </c>
      <c r="AD50" s="111" t="s">
        <v>181</v>
      </c>
      <c r="AE50" s="112" t="s">
        <v>181</v>
      </c>
      <c r="AF50" s="111" t="s">
        <v>181</v>
      </c>
      <c r="AG50" s="112" t="s">
        <v>181</v>
      </c>
      <c r="AH50" s="111" t="s">
        <v>181</v>
      </c>
      <c r="AI50" s="112" t="s">
        <v>181</v>
      </c>
      <c r="AJ50" s="114" t="s">
        <v>181</v>
      </c>
    </row>
    <row r="51" spans="1:40" s="1" customFormat="1" hidden="1" x14ac:dyDescent="0.25">
      <c r="A51" s="35" t="s">
        <v>52</v>
      </c>
      <c r="B51" s="36"/>
      <c r="C51" s="37"/>
      <c r="D51" s="37"/>
      <c r="E51" s="37"/>
      <c r="F51" s="36"/>
      <c r="G51" s="36"/>
      <c r="H51" s="38"/>
      <c r="I51" s="38"/>
      <c r="J51" s="38"/>
      <c r="K51" s="2"/>
      <c r="L51" s="36"/>
      <c r="M51" s="110"/>
      <c r="N51" s="111"/>
      <c r="O51" s="112"/>
      <c r="P51" s="111"/>
      <c r="Q51" s="112"/>
      <c r="R51" s="111"/>
      <c r="S51" s="113"/>
      <c r="T51" s="111">
        <v>4000</v>
      </c>
      <c r="U51" s="110"/>
      <c r="V51" s="111">
        <v>3000</v>
      </c>
      <c r="W51" s="110"/>
      <c r="X51" s="111">
        <v>3390</v>
      </c>
      <c r="Y51" s="110"/>
      <c r="Z51" s="113"/>
      <c r="AA51" s="107"/>
      <c r="AB51" s="113"/>
      <c r="AC51" s="112"/>
      <c r="AD51" s="111"/>
      <c r="AE51" s="112"/>
      <c r="AF51" s="111"/>
      <c r="AG51" s="112"/>
      <c r="AH51" s="111"/>
      <c r="AI51" s="112"/>
      <c r="AJ51" s="114"/>
    </row>
    <row r="52" spans="1:40" s="1" customFormat="1" hidden="1" x14ac:dyDescent="0.25">
      <c r="A52" s="35" t="s">
        <v>243</v>
      </c>
      <c r="B52" s="36"/>
      <c r="C52" s="37" t="s">
        <v>181</v>
      </c>
      <c r="D52" s="37" t="s">
        <v>181</v>
      </c>
      <c r="E52" s="37" t="s">
        <v>181</v>
      </c>
      <c r="F52" s="36" t="s">
        <v>181</v>
      </c>
      <c r="G52" s="36" t="s">
        <v>181</v>
      </c>
      <c r="H52" s="38" t="s">
        <v>181</v>
      </c>
      <c r="I52" s="38" t="s">
        <v>181</v>
      </c>
      <c r="J52" s="38" t="s">
        <v>181</v>
      </c>
      <c r="K52" s="2" t="s">
        <v>78</v>
      </c>
      <c r="L52" s="36"/>
      <c r="M52" s="110" t="s">
        <v>181</v>
      </c>
      <c r="N52" s="111" t="s">
        <v>181</v>
      </c>
      <c r="O52" s="112" t="s">
        <v>181</v>
      </c>
      <c r="P52" s="111" t="s">
        <v>181</v>
      </c>
      <c r="Q52" s="112">
        <v>43902</v>
      </c>
      <c r="R52" s="111">
        <v>11333</v>
      </c>
      <c r="S52" s="113" t="s">
        <v>181</v>
      </c>
      <c r="T52" s="113" t="s">
        <v>181</v>
      </c>
      <c r="U52" s="110" t="s">
        <v>181</v>
      </c>
      <c r="V52" s="113" t="s">
        <v>181</v>
      </c>
      <c r="W52" s="110" t="s">
        <v>181</v>
      </c>
      <c r="X52" s="113" t="s">
        <v>181</v>
      </c>
      <c r="Y52" s="110" t="s">
        <v>181</v>
      </c>
      <c r="Z52" s="113" t="s">
        <v>181</v>
      </c>
      <c r="AA52" s="107" t="s">
        <v>181</v>
      </c>
      <c r="AB52" s="113" t="s">
        <v>181</v>
      </c>
      <c r="AC52" s="112" t="s">
        <v>181</v>
      </c>
      <c r="AD52" s="111" t="s">
        <v>181</v>
      </c>
      <c r="AE52" s="112" t="s">
        <v>181</v>
      </c>
      <c r="AF52" s="111" t="s">
        <v>181</v>
      </c>
      <c r="AG52" s="112" t="s">
        <v>181</v>
      </c>
      <c r="AH52" s="111" t="s">
        <v>181</v>
      </c>
      <c r="AI52" s="112" t="s">
        <v>181</v>
      </c>
      <c r="AJ52" s="114" t="s">
        <v>181</v>
      </c>
    </row>
    <row r="53" spans="1:40" s="1" customFormat="1" hidden="1" x14ac:dyDescent="0.25">
      <c r="A53" s="35" t="s">
        <v>224</v>
      </c>
      <c r="B53" s="36" t="s">
        <v>202</v>
      </c>
      <c r="C53" s="37" t="s">
        <v>181</v>
      </c>
      <c r="D53" s="37" t="s">
        <v>181</v>
      </c>
      <c r="E53" s="37" t="s">
        <v>181</v>
      </c>
      <c r="F53" s="36" t="s">
        <v>181</v>
      </c>
      <c r="G53" s="36" t="s">
        <v>181</v>
      </c>
      <c r="H53" s="38" t="s">
        <v>181</v>
      </c>
      <c r="I53" s="38" t="s">
        <v>181</v>
      </c>
      <c r="J53" s="38" t="s">
        <v>181</v>
      </c>
      <c r="K53" s="2" t="s">
        <v>78</v>
      </c>
      <c r="L53" s="36"/>
      <c r="M53" s="110" t="s">
        <v>181</v>
      </c>
      <c r="N53" s="111" t="s">
        <v>181</v>
      </c>
      <c r="O53" s="112" t="s">
        <v>181</v>
      </c>
      <c r="P53" s="111" t="s">
        <v>181</v>
      </c>
      <c r="Q53" s="112" t="s">
        <v>181</v>
      </c>
      <c r="R53" s="111" t="s">
        <v>181</v>
      </c>
      <c r="S53" s="113" t="s">
        <v>181</v>
      </c>
      <c r="T53" s="113" t="s">
        <v>181</v>
      </c>
      <c r="U53" s="110" t="s">
        <v>181</v>
      </c>
      <c r="V53" s="113" t="s">
        <v>181</v>
      </c>
      <c r="W53" s="110" t="s">
        <v>181</v>
      </c>
      <c r="X53" s="113" t="s">
        <v>181</v>
      </c>
      <c r="Y53" s="110" t="s">
        <v>181</v>
      </c>
      <c r="Z53" s="113" t="s">
        <v>181</v>
      </c>
      <c r="AA53" s="107" t="s">
        <v>181</v>
      </c>
      <c r="AB53" s="113" t="s">
        <v>181</v>
      </c>
      <c r="AC53" s="112" t="s">
        <v>181</v>
      </c>
      <c r="AD53" s="111" t="s">
        <v>181</v>
      </c>
      <c r="AE53" s="112" t="s">
        <v>181</v>
      </c>
      <c r="AF53" s="111" t="s">
        <v>181</v>
      </c>
      <c r="AG53" s="112" t="s">
        <v>181</v>
      </c>
      <c r="AH53" s="111" t="s">
        <v>181</v>
      </c>
      <c r="AI53" s="112" t="s">
        <v>181</v>
      </c>
      <c r="AJ53" s="114" t="s">
        <v>181</v>
      </c>
    </row>
    <row r="54" spans="1:40" s="1" customFormat="1" ht="30" hidden="1" x14ac:dyDescent="0.25">
      <c r="A54" s="35" t="s">
        <v>259</v>
      </c>
      <c r="B54" s="36" t="s">
        <v>204</v>
      </c>
      <c r="C54" s="37" t="s">
        <v>181</v>
      </c>
      <c r="D54" s="37" t="s">
        <v>181</v>
      </c>
      <c r="E54" s="37" t="s">
        <v>181</v>
      </c>
      <c r="F54" s="36" t="s">
        <v>181</v>
      </c>
      <c r="G54" s="36" t="s">
        <v>181</v>
      </c>
      <c r="H54" s="38" t="s">
        <v>181</v>
      </c>
      <c r="I54" s="38" t="s">
        <v>181</v>
      </c>
      <c r="J54" s="38" t="s">
        <v>181</v>
      </c>
      <c r="K54" s="2" t="s">
        <v>78</v>
      </c>
      <c r="L54" s="36"/>
      <c r="M54" s="110" t="s">
        <v>181</v>
      </c>
      <c r="N54" s="111" t="s">
        <v>181</v>
      </c>
      <c r="O54" s="112" t="s">
        <v>181</v>
      </c>
      <c r="P54" s="111" t="s">
        <v>181</v>
      </c>
      <c r="Q54" s="112" t="s">
        <v>181</v>
      </c>
      <c r="R54" s="111" t="s">
        <v>181</v>
      </c>
      <c r="S54" s="113" t="s">
        <v>181</v>
      </c>
      <c r="T54" s="113" t="s">
        <v>181</v>
      </c>
      <c r="U54" s="110" t="s">
        <v>181</v>
      </c>
      <c r="V54" s="113" t="s">
        <v>181</v>
      </c>
      <c r="W54" s="110" t="s">
        <v>181</v>
      </c>
      <c r="X54" s="113" t="s">
        <v>181</v>
      </c>
      <c r="Y54" s="110" t="s">
        <v>181</v>
      </c>
      <c r="Z54" s="113" t="s">
        <v>181</v>
      </c>
      <c r="AA54" s="107" t="s">
        <v>181</v>
      </c>
      <c r="AB54" s="113" t="s">
        <v>181</v>
      </c>
      <c r="AC54" s="112" t="s">
        <v>181</v>
      </c>
      <c r="AD54" s="111" t="s">
        <v>181</v>
      </c>
      <c r="AE54" s="112" t="s">
        <v>181</v>
      </c>
      <c r="AF54" s="111" t="s">
        <v>181</v>
      </c>
      <c r="AG54" s="112" t="s">
        <v>181</v>
      </c>
      <c r="AH54" s="111" t="s">
        <v>181</v>
      </c>
      <c r="AI54" s="112" t="s">
        <v>181</v>
      </c>
      <c r="AJ54" s="114" t="s">
        <v>181</v>
      </c>
    </row>
    <row r="55" spans="1:40" s="1" customFormat="1" x14ac:dyDescent="0.25">
      <c r="A55" s="35" t="s">
        <v>241</v>
      </c>
      <c r="B55" s="36"/>
      <c r="C55" s="37" t="s">
        <v>181</v>
      </c>
      <c r="D55" s="37" t="s">
        <v>181</v>
      </c>
      <c r="E55" s="37" t="s">
        <v>181</v>
      </c>
      <c r="F55" s="36" t="s">
        <v>181</v>
      </c>
      <c r="G55" s="36" t="s">
        <v>181</v>
      </c>
      <c r="H55" s="38" t="s">
        <v>181</v>
      </c>
      <c r="I55" s="38" t="s">
        <v>181</v>
      </c>
      <c r="J55" s="38" t="s">
        <v>181</v>
      </c>
      <c r="K55" s="2" t="s">
        <v>78</v>
      </c>
      <c r="L55" s="36"/>
      <c r="M55" s="110" t="s">
        <v>181</v>
      </c>
      <c r="N55" s="111" t="s">
        <v>181</v>
      </c>
      <c r="O55" s="112" t="s">
        <v>181</v>
      </c>
      <c r="P55" s="111" t="s">
        <v>181</v>
      </c>
      <c r="Q55" s="112" t="s">
        <v>181</v>
      </c>
      <c r="R55" s="111" t="s">
        <v>181</v>
      </c>
      <c r="S55" s="113" t="s">
        <v>181</v>
      </c>
      <c r="T55" s="113" t="s">
        <v>181</v>
      </c>
      <c r="U55" s="110" t="s">
        <v>181</v>
      </c>
      <c r="V55" s="113" t="s">
        <v>181</v>
      </c>
      <c r="W55" s="110" t="s">
        <v>181</v>
      </c>
      <c r="X55" s="113" t="s">
        <v>181</v>
      </c>
      <c r="Y55" s="110" t="s">
        <v>181</v>
      </c>
      <c r="Z55" s="113" t="s">
        <v>181</v>
      </c>
      <c r="AA55" s="107">
        <v>44056</v>
      </c>
      <c r="AB55" s="111">
        <v>30800</v>
      </c>
      <c r="AC55" s="112">
        <v>44082</v>
      </c>
      <c r="AD55" s="111">
        <v>35200</v>
      </c>
      <c r="AE55" s="112">
        <v>44110</v>
      </c>
      <c r="AF55" s="111">
        <v>35200</v>
      </c>
      <c r="AG55" s="112">
        <v>44144</v>
      </c>
      <c r="AH55" s="111">
        <v>35200</v>
      </c>
      <c r="AI55" s="112">
        <v>44182</v>
      </c>
      <c r="AJ55" s="114">
        <v>35200</v>
      </c>
    </row>
    <row r="56" spans="1:40" s="84" customFormat="1" x14ac:dyDescent="0.25">
      <c r="A56" s="85"/>
      <c r="B56" s="36"/>
      <c r="C56" s="37"/>
      <c r="D56" s="37"/>
      <c r="E56" s="86"/>
      <c r="F56" s="87"/>
      <c r="G56" s="87"/>
      <c r="H56" s="38"/>
      <c r="I56" s="38"/>
      <c r="J56" s="38"/>
      <c r="K56" s="2"/>
      <c r="L56" s="36"/>
      <c r="M56" s="88"/>
      <c r="N56" s="89">
        <f>SUBTOTAL(9,N49:N55)</f>
        <v>0</v>
      </c>
      <c r="O56" s="86"/>
      <c r="P56" s="89">
        <f>SUBTOTAL(9,P49:P55)</f>
        <v>0</v>
      </c>
      <c r="Q56" s="86"/>
      <c r="R56" s="89">
        <f>SUBTOTAL(9,R49:R55)</f>
        <v>0</v>
      </c>
      <c r="S56" s="90"/>
      <c r="T56" s="89">
        <f>SUBTOTAL(9,T49:T55)</f>
        <v>0</v>
      </c>
      <c r="U56" s="88"/>
      <c r="V56" s="89">
        <f>SUBTOTAL(9,V49:V55)</f>
        <v>0</v>
      </c>
      <c r="W56" s="88"/>
      <c r="X56" s="89">
        <f>SUBTOTAL(9,X49:X55)</f>
        <v>0</v>
      </c>
      <c r="Y56" s="88"/>
      <c r="Z56" s="89">
        <f>SUBTOTAL(9,Z49:Z55)</f>
        <v>0</v>
      </c>
      <c r="AA56" s="82"/>
      <c r="AB56" s="89">
        <f>SUBTOTAL(9,AB49:AB55)</f>
        <v>30800</v>
      </c>
      <c r="AC56" s="86"/>
      <c r="AD56" s="89">
        <f>SUBTOTAL(9,AD49:AD55)</f>
        <v>35200</v>
      </c>
      <c r="AE56" s="86"/>
      <c r="AF56" s="89">
        <f>SUBTOTAL(9,AF49:AF55)</f>
        <v>35200</v>
      </c>
      <c r="AG56" s="86"/>
      <c r="AH56" s="89">
        <f>SUBTOTAL(9,AH49:AH55)</f>
        <v>35200</v>
      </c>
      <c r="AI56" s="86"/>
      <c r="AJ56" s="89">
        <f>SUBTOTAL(9,AJ49:AJ55)</f>
        <v>35200</v>
      </c>
    </row>
    <row r="57" spans="1:40" s="1" customFormat="1" x14ac:dyDescent="0.25">
      <c r="A57" s="35" t="s">
        <v>152</v>
      </c>
      <c r="B57" s="36"/>
      <c r="C57" s="37"/>
      <c r="D57" s="37"/>
      <c r="E57" s="37"/>
      <c r="F57" s="36"/>
      <c r="G57" s="36"/>
      <c r="H57" s="116"/>
      <c r="I57" s="116"/>
      <c r="J57" s="116"/>
      <c r="K57" s="36"/>
      <c r="L57" s="36"/>
      <c r="M57" s="37"/>
      <c r="N57" s="116">
        <f>SUBTOTAL(9,N5:N56)</f>
        <v>22537.040000000005</v>
      </c>
      <c r="O57" s="37"/>
      <c r="P57" s="116">
        <f>SUBTOTAL(9,P5:P56)</f>
        <v>21706.329999999998</v>
      </c>
      <c r="Q57" s="37"/>
      <c r="R57" s="116">
        <f>SUBTOTAL(9,R5:R56)</f>
        <v>22579.599999999995</v>
      </c>
      <c r="S57" s="37"/>
      <c r="T57" s="116">
        <f>SUBTOTAL(9,T5:T56)</f>
        <v>23761.709999999995</v>
      </c>
      <c r="U57" s="37"/>
      <c r="V57" s="116">
        <f>SUBTOTAL(9,V5:V56)</f>
        <v>13918.679999999998</v>
      </c>
      <c r="W57" s="37"/>
      <c r="X57" s="116">
        <f>SUBTOTAL(109,Tabela14567[Valor8])</f>
        <v>14680.189999999999</v>
      </c>
      <c r="Y57" s="37"/>
      <c r="Z57" s="116">
        <f>SUBTOTAL(109,Tabela14567[Valor9])</f>
        <v>15523.929999999998</v>
      </c>
      <c r="AA57" s="3"/>
      <c r="AB57" s="116">
        <f>SUBTOTAL(109,Tabela14567[Valor10])</f>
        <v>49542.256666666668</v>
      </c>
      <c r="AC57" s="37"/>
      <c r="AD57" s="116">
        <f>SUBTOTAL(109,Tabela14567[Valor11])</f>
        <v>54045.75</v>
      </c>
      <c r="AE57" s="37"/>
      <c r="AF57" s="116">
        <f>SUBTOTAL(109,Tabela14567[Valor12])</f>
        <v>56093.29</v>
      </c>
      <c r="AG57" s="37"/>
      <c r="AH57" s="116">
        <f>SUBTOTAL(109,Tabela14567[Valor14])</f>
        <v>52600.22</v>
      </c>
      <c r="AI57" s="37"/>
      <c r="AJ57" s="117">
        <f>SUBTOTAL(109,Tabela14567[Valor2])</f>
        <v>59320.18</v>
      </c>
    </row>
    <row r="58" spans="1:40" x14ac:dyDescent="0.25">
      <c r="AL58" s="100">
        <f>18333*3</f>
        <v>54999</v>
      </c>
      <c r="AM58" s="100">
        <f>8690*2</f>
        <v>17380</v>
      </c>
      <c r="AN58" s="100">
        <v>22675</v>
      </c>
    </row>
    <row r="62" spans="1:40" x14ac:dyDescent="0.25">
      <c r="V62" s="101"/>
    </row>
  </sheetData>
  <mergeCells count="17">
    <mergeCell ref="A1:K1"/>
    <mergeCell ref="W2:X2"/>
    <mergeCell ref="Y2:Z2"/>
    <mergeCell ref="AA2:AB2"/>
    <mergeCell ref="AC2:AD2"/>
    <mergeCell ref="O2:P2"/>
    <mergeCell ref="Q2:R2"/>
    <mergeCell ref="S2:T2"/>
    <mergeCell ref="AG2:AH2"/>
    <mergeCell ref="AI2:AJ2"/>
    <mergeCell ref="U2:V2"/>
    <mergeCell ref="AE2:AF2"/>
    <mergeCell ref="A2:B2"/>
    <mergeCell ref="C2:E2"/>
    <mergeCell ref="F2:G2"/>
    <mergeCell ref="J2:K2"/>
    <mergeCell ref="M2:N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35" orientation="landscape"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8">
    <pageSetUpPr fitToPage="1"/>
  </sheetPr>
  <dimension ref="A1:AK62"/>
  <sheetViews>
    <sheetView zoomScale="85" zoomScaleNormal="85" workbookViewId="0">
      <pane xSplit="13" ySplit="2" topLeftCell="N3" activePane="bottomRight" state="frozen"/>
      <selection pane="topRight" activeCell="M1" sqref="M1"/>
      <selection pane="bottomLeft" activeCell="A5" sqref="A5"/>
      <selection pane="bottomRight" activeCell="AK15" sqref="AK15"/>
    </sheetView>
  </sheetViews>
  <sheetFormatPr defaultColWidth="9.140625" defaultRowHeight="15" outlineLevelCol="1" x14ac:dyDescent="0.25"/>
  <cols>
    <col min="1" max="1" width="5.140625" style="100" bestFit="1" customWidth="1"/>
    <col min="2" max="2" width="26.5703125" style="100" bestFit="1" customWidth="1"/>
    <col min="3" max="3" width="51.28515625" style="100" hidden="1" customWidth="1" outlineLevel="1"/>
    <col min="4" max="4" width="22.28515625" style="100" hidden="1" customWidth="1" outlineLevel="1"/>
    <col min="5" max="5" width="19.28515625" style="100" hidden="1" customWidth="1" outlineLevel="1"/>
    <col min="6" max="6" width="15.140625" style="100" hidden="1" customWidth="1" outlineLevel="1"/>
    <col min="7" max="7" width="23" style="100" bestFit="1" customWidth="1" collapsed="1"/>
    <col min="8" max="8" width="18.140625" style="100" bestFit="1" customWidth="1"/>
    <col min="9" max="9" width="16.140625" style="100" hidden="1" customWidth="1" outlineLevel="1"/>
    <col min="10" max="10" width="47.5703125" style="100" hidden="1" customWidth="1" outlineLevel="1"/>
    <col min="11" max="11" width="23" style="100" hidden="1" customWidth="1" outlineLevel="1"/>
    <col min="12" max="12" width="17" style="100" hidden="1" customWidth="1" outlineLevel="1"/>
    <col min="13" max="13" width="63" style="100" hidden="1" customWidth="1" outlineLevel="1"/>
    <col min="14" max="14" width="11.5703125" style="100" customWidth="1" collapsed="1"/>
    <col min="15" max="15" width="15.28515625" style="100" bestFit="1" customWidth="1"/>
    <col min="16" max="16" width="11.5703125" style="100" customWidth="1"/>
    <col min="17" max="17" width="15.28515625" style="100" bestFit="1" customWidth="1"/>
    <col min="18" max="18" width="11.5703125" style="100" customWidth="1"/>
    <col min="19" max="19" width="15.28515625" style="100" bestFit="1" customWidth="1"/>
    <col min="20" max="20" width="11.5703125" style="100" customWidth="1"/>
    <col min="21" max="21" width="16.140625" style="100" bestFit="1" customWidth="1"/>
    <col min="22" max="22" width="11.5703125" style="100" customWidth="1"/>
    <col min="23" max="23" width="16.140625" style="100" bestFit="1" customWidth="1"/>
    <col min="24" max="24" width="11.5703125" style="100" customWidth="1"/>
    <col min="25" max="25" width="15.28515625" style="100" bestFit="1" customWidth="1"/>
    <col min="26" max="26" width="11.5703125" style="100" customWidth="1"/>
    <col min="27" max="27" width="15.28515625" style="100" bestFit="1" customWidth="1"/>
    <col min="28" max="28" width="11.5703125" style="100" customWidth="1"/>
    <col min="29" max="29" width="15.28515625" style="100" bestFit="1" customWidth="1"/>
    <col min="30" max="30" width="12.5703125" style="100" bestFit="1" customWidth="1"/>
    <col min="31" max="31" width="15.28515625" style="100" bestFit="1" customWidth="1"/>
    <col min="32" max="32" width="12.5703125" style="100" customWidth="1"/>
    <col min="33" max="33" width="15.28515625" style="100" bestFit="1" customWidth="1"/>
    <col min="34" max="34" width="12.5703125" style="100" customWidth="1"/>
    <col min="35" max="35" width="15" style="100" bestFit="1" customWidth="1"/>
    <col min="36" max="36" width="12.5703125" style="100" bestFit="1" customWidth="1"/>
    <col min="37" max="37" width="14.7109375" style="100" customWidth="1"/>
    <col min="38" max="16384" width="9.140625" style="100"/>
  </cols>
  <sheetData>
    <row r="1" spans="1:37" s="1" customFormat="1" ht="15" customHeight="1" x14ac:dyDescent="0.25">
      <c r="A1" s="143" t="s">
        <v>60</v>
      </c>
      <c r="B1" s="143"/>
      <c r="C1" s="144"/>
      <c r="D1" s="170"/>
      <c r="E1" s="170"/>
      <c r="F1" s="171"/>
      <c r="G1" s="69"/>
      <c r="H1" s="70"/>
      <c r="I1" s="69"/>
      <c r="J1" s="70"/>
      <c r="K1" s="170"/>
      <c r="L1" s="171"/>
      <c r="M1" s="62"/>
      <c r="N1" s="170">
        <v>44197</v>
      </c>
      <c r="O1" s="171"/>
      <c r="P1" s="172">
        <v>44228</v>
      </c>
      <c r="Q1" s="173"/>
      <c r="R1" s="170">
        <v>44256</v>
      </c>
      <c r="S1" s="171"/>
      <c r="T1" s="172">
        <v>44287</v>
      </c>
      <c r="U1" s="173"/>
      <c r="V1" s="170">
        <v>44317</v>
      </c>
      <c r="W1" s="171"/>
      <c r="X1" s="172">
        <v>44348</v>
      </c>
      <c r="Y1" s="173"/>
      <c r="Z1" s="170">
        <v>44378</v>
      </c>
      <c r="AA1" s="171"/>
      <c r="AB1" s="172">
        <v>44409</v>
      </c>
      <c r="AC1" s="173"/>
      <c r="AD1" s="170">
        <v>44440</v>
      </c>
      <c r="AE1" s="171"/>
      <c r="AF1" s="172">
        <v>44470</v>
      </c>
      <c r="AG1" s="173"/>
      <c r="AH1" s="170">
        <v>44501</v>
      </c>
      <c r="AI1" s="171"/>
      <c r="AJ1" s="172">
        <v>44531</v>
      </c>
      <c r="AK1" s="173"/>
    </row>
    <row r="2" spans="1:37" s="13" customFormat="1" ht="30" x14ac:dyDescent="0.25">
      <c r="A2" s="118" t="s">
        <v>276</v>
      </c>
      <c r="B2" s="11" t="s">
        <v>0</v>
      </c>
      <c r="C2" s="43" t="s">
        <v>5</v>
      </c>
      <c r="D2" s="45" t="s">
        <v>3</v>
      </c>
      <c r="E2" s="66" t="s">
        <v>209</v>
      </c>
      <c r="F2" s="45" t="s">
        <v>1</v>
      </c>
      <c r="G2" s="43" t="s">
        <v>8</v>
      </c>
      <c r="H2" s="43" t="s">
        <v>2</v>
      </c>
      <c r="I2" s="44" t="s">
        <v>79</v>
      </c>
      <c r="J2" s="44" t="s">
        <v>107</v>
      </c>
      <c r="K2" s="59" t="s">
        <v>186</v>
      </c>
      <c r="L2" s="43" t="s">
        <v>19</v>
      </c>
      <c r="M2" s="43" t="s">
        <v>105</v>
      </c>
      <c r="N2" s="45" t="s">
        <v>115</v>
      </c>
      <c r="O2" s="46" t="s">
        <v>116</v>
      </c>
      <c r="P2" s="45" t="s">
        <v>117</v>
      </c>
      <c r="Q2" s="46" t="s">
        <v>118</v>
      </c>
      <c r="R2" s="45" t="s">
        <v>119</v>
      </c>
      <c r="S2" s="46" t="s">
        <v>120</v>
      </c>
      <c r="T2" s="45" t="s">
        <v>121</v>
      </c>
      <c r="U2" s="46" t="s">
        <v>122</v>
      </c>
      <c r="V2" s="45" t="s">
        <v>123</v>
      </c>
      <c r="W2" s="46" t="s">
        <v>124</v>
      </c>
      <c r="X2" s="45" t="s">
        <v>125</v>
      </c>
      <c r="Y2" s="46" t="s">
        <v>126</v>
      </c>
      <c r="Z2" s="45" t="s">
        <v>127</v>
      </c>
      <c r="AA2" s="46" t="s">
        <v>128</v>
      </c>
      <c r="AB2" s="45" t="s">
        <v>129</v>
      </c>
      <c r="AC2" s="46" t="s">
        <v>130</v>
      </c>
      <c r="AD2" s="45" t="s">
        <v>131</v>
      </c>
      <c r="AE2" s="46" t="s">
        <v>132</v>
      </c>
      <c r="AF2" s="45" t="s">
        <v>133</v>
      </c>
      <c r="AG2" s="46" t="s">
        <v>134</v>
      </c>
      <c r="AH2" s="45" t="s">
        <v>135</v>
      </c>
      <c r="AI2" s="46" t="s">
        <v>137</v>
      </c>
      <c r="AJ2" s="45" t="s">
        <v>136</v>
      </c>
      <c r="AK2" s="46" t="s">
        <v>138</v>
      </c>
    </row>
    <row r="3" spans="1:37" s="1" customFormat="1" x14ac:dyDescent="0.25">
      <c r="A3" s="119">
        <v>1</v>
      </c>
      <c r="B3" s="25" t="s">
        <v>9</v>
      </c>
      <c r="C3" s="25" t="s">
        <v>262</v>
      </c>
      <c r="D3" s="26">
        <v>41644</v>
      </c>
      <c r="E3" s="26">
        <v>42008</v>
      </c>
      <c r="F3" s="26" t="s">
        <v>6</v>
      </c>
      <c r="G3" s="25" t="s">
        <v>89</v>
      </c>
      <c r="H3" s="25" t="s">
        <v>7</v>
      </c>
      <c r="I3" s="27" t="s">
        <v>139</v>
      </c>
      <c r="J3" s="27" t="s">
        <v>145</v>
      </c>
      <c r="K3" s="27" t="s">
        <v>185</v>
      </c>
      <c r="L3" s="25" t="s">
        <v>78</v>
      </c>
      <c r="M3" s="25" t="s">
        <v>184</v>
      </c>
      <c r="N3" s="41">
        <v>44201</v>
      </c>
      <c r="O3" s="103">
        <v>6506.7</v>
      </c>
      <c r="P3" s="41">
        <v>44228</v>
      </c>
      <c r="Q3" s="103">
        <v>6127.72</v>
      </c>
      <c r="R3" s="41">
        <v>44257</v>
      </c>
      <c r="S3" s="103">
        <v>6554.37</v>
      </c>
      <c r="T3" s="41">
        <v>44291</v>
      </c>
      <c r="U3" s="103">
        <v>7174.05</v>
      </c>
      <c r="V3" s="41">
        <v>44319</v>
      </c>
      <c r="W3" s="103">
        <v>5730.51</v>
      </c>
      <c r="X3" s="41">
        <v>44348</v>
      </c>
      <c r="Y3" s="103">
        <v>6288.35</v>
      </c>
      <c r="Z3" s="41">
        <v>44382</v>
      </c>
      <c r="AA3" s="103">
        <v>5273.79</v>
      </c>
      <c r="AB3" s="41">
        <v>44412</v>
      </c>
      <c r="AC3" s="103">
        <v>4486.42</v>
      </c>
      <c r="AD3" s="41">
        <v>44440</v>
      </c>
      <c r="AE3" s="103">
        <v>8535.84</v>
      </c>
      <c r="AF3" s="41">
        <v>44473</v>
      </c>
      <c r="AG3" s="103">
        <v>5799.3</v>
      </c>
      <c r="AH3" s="104">
        <v>44508</v>
      </c>
      <c r="AI3" s="103">
        <v>6775.05</v>
      </c>
      <c r="AJ3" s="104">
        <v>44531</v>
      </c>
      <c r="AK3" s="103">
        <v>6642.01</v>
      </c>
    </row>
    <row r="4" spans="1:37" s="1" customFormat="1" x14ac:dyDescent="0.25">
      <c r="A4" s="25">
        <v>2</v>
      </c>
      <c r="B4" s="25" t="s">
        <v>24</v>
      </c>
      <c r="C4" s="25" t="s">
        <v>263</v>
      </c>
      <c r="D4" s="26">
        <v>43102</v>
      </c>
      <c r="E4" s="26" t="s">
        <v>181</v>
      </c>
      <c r="F4" s="3" t="s">
        <v>13</v>
      </c>
      <c r="G4" s="25" t="s">
        <v>89</v>
      </c>
      <c r="H4" s="25" t="s">
        <v>7</v>
      </c>
      <c r="I4" s="27">
        <v>580</v>
      </c>
      <c r="J4" s="27" t="s">
        <v>141</v>
      </c>
      <c r="K4" s="27" t="s">
        <v>188</v>
      </c>
      <c r="L4" s="25" t="s">
        <v>78</v>
      </c>
      <c r="M4" s="25"/>
      <c r="N4" s="105">
        <v>44208</v>
      </c>
      <c r="O4" s="106">
        <v>580</v>
      </c>
      <c r="P4" s="41">
        <v>44239</v>
      </c>
      <c r="Q4" s="106">
        <v>713.4</v>
      </c>
      <c r="R4" s="41">
        <v>44272</v>
      </c>
      <c r="S4" s="106">
        <v>713.4</v>
      </c>
      <c r="T4" s="41">
        <v>44300</v>
      </c>
      <c r="U4" s="106">
        <v>713.4</v>
      </c>
      <c r="V4" s="41">
        <v>44333</v>
      </c>
      <c r="W4" s="106">
        <v>713.4</v>
      </c>
      <c r="X4" s="41">
        <v>44361</v>
      </c>
      <c r="Y4" s="106">
        <v>713.4</v>
      </c>
      <c r="Z4" s="41">
        <v>44396</v>
      </c>
      <c r="AA4" s="106">
        <v>713.4</v>
      </c>
      <c r="AB4" s="41">
        <v>44420</v>
      </c>
      <c r="AC4" s="106">
        <v>713.4</v>
      </c>
      <c r="AD4" s="41">
        <v>44453</v>
      </c>
      <c r="AE4" s="106">
        <v>713.4</v>
      </c>
      <c r="AF4" s="41">
        <v>44475</v>
      </c>
      <c r="AG4" s="106">
        <v>713.4</v>
      </c>
      <c r="AH4" s="104">
        <v>44511</v>
      </c>
      <c r="AI4" s="106">
        <v>713.4</v>
      </c>
      <c r="AJ4" s="104">
        <v>44557</v>
      </c>
      <c r="AK4" s="106">
        <v>713.4</v>
      </c>
    </row>
    <row r="5" spans="1:37" s="1" customFormat="1" x14ac:dyDescent="0.25">
      <c r="A5" s="119">
        <v>3</v>
      </c>
      <c r="B5" s="25" t="s">
        <v>31</v>
      </c>
      <c r="C5" s="25" t="s">
        <v>32</v>
      </c>
      <c r="D5" s="26">
        <v>40568</v>
      </c>
      <c r="E5" s="26">
        <v>43102</v>
      </c>
      <c r="F5" s="26" t="s">
        <v>33</v>
      </c>
      <c r="G5" s="25" t="s">
        <v>89</v>
      </c>
      <c r="H5" s="25" t="s">
        <v>7</v>
      </c>
      <c r="I5" s="27">
        <v>1452.21</v>
      </c>
      <c r="J5" s="27" t="s">
        <v>110</v>
      </c>
      <c r="K5" s="27" t="s">
        <v>189</v>
      </c>
      <c r="L5" s="25" t="s">
        <v>78</v>
      </c>
      <c r="M5" s="25"/>
      <c r="N5" s="41">
        <v>44201</v>
      </c>
      <c r="O5" s="103">
        <v>1213.5999999999999</v>
      </c>
      <c r="P5" s="41">
        <v>44229</v>
      </c>
      <c r="Q5" s="103">
        <v>1213.5999999999999</v>
      </c>
      <c r="R5" s="41">
        <v>44257</v>
      </c>
      <c r="S5" s="103">
        <v>1213.5999999999999</v>
      </c>
      <c r="T5" s="41">
        <v>44291</v>
      </c>
      <c r="U5" s="103">
        <v>1213.5999999999999</v>
      </c>
      <c r="V5" s="41">
        <v>44321</v>
      </c>
      <c r="W5" s="103">
        <v>1213.5999999999999</v>
      </c>
      <c r="X5" s="41">
        <v>44349</v>
      </c>
      <c r="Y5" s="103">
        <v>1213.5999999999999</v>
      </c>
      <c r="Z5" s="41">
        <v>44384</v>
      </c>
      <c r="AA5" s="103">
        <v>1213.5999999999999</v>
      </c>
      <c r="AB5" s="41">
        <v>44412</v>
      </c>
      <c r="AC5" s="103">
        <v>1517.01</v>
      </c>
      <c r="AD5" s="41">
        <v>44447</v>
      </c>
      <c r="AE5" s="103">
        <v>1517.01</v>
      </c>
      <c r="AF5" s="41">
        <v>44473</v>
      </c>
      <c r="AG5" s="103">
        <v>1517.01</v>
      </c>
      <c r="AH5" s="104">
        <v>44504</v>
      </c>
      <c r="AI5" s="103">
        <v>1517.01</v>
      </c>
      <c r="AJ5" s="104">
        <v>44557</v>
      </c>
      <c r="AK5" s="103">
        <v>1517.01</v>
      </c>
    </row>
    <row r="6" spans="1:37" s="1" customFormat="1" ht="15.75" thickBot="1" x14ac:dyDescent="0.3">
      <c r="A6" s="25">
        <v>4</v>
      </c>
      <c r="B6" s="25" t="s">
        <v>42</v>
      </c>
      <c r="C6" s="25" t="s">
        <v>214</v>
      </c>
      <c r="D6" s="26">
        <v>43040</v>
      </c>
      <c r="E6" s="26">
        <v>43119</v>
      </c>
      <c r="F6" s="26" t="s">
        <v>28</v>
      </c>
      <c r="G6" s="73" t="s">
        <v>210</v>
      </c>
      <c r="H6" s="73" t="s">
        <v>181</v>
      </c>
      <c r="I6" s="27">
        <v>930.4</v>
      </c>
      <c r="J6" s="27" t="s">
        <v>141</v>
      </c>
      <c r="K6" s="27" t="s">
        <v>190</v>
      </c>
      <c r="L6" s="25" t="s">
        <v>78</v>
      </c>
      <c r="M6" s="25"/>
      <c r="N6" s="41">
        <v>44210</v>
      </c>
      <c r="O6" s="106">
        <v>930.4</v>
      </c>
      <c r="P6" s="41">
        <v>44235</v>
      </c>
      <c r="Q6" s="103">
        <v>930.4</v>
      </c>
      <c r="R6" s="41">
        <v>44267</v>
      </c>
      <c r="S6" s="103">
        <v>930.4</v>
      </c>
      <c r="T6" s="41">
        <v>44300</v>
      </c>
      <c r="U6" s="103">
        <v>930.4</v>
      </c>
      <c r="V6" s="41">
        <v>44341</v>
      </c>
      <c r="W6" s="103">
        <v>930.4</v>
      </c>
      <c r="X6" s="41">
        <v>44351</v>
      </c>
      <c r="Y6" s="103">
        <v>930.4</v>
      </c>
      <c r="Z6" s="41">
        <v>44384</v>
      </c>
      <c r="AA6" s="103">
        <v>930.4</v>
      </c>
      <c r="AB6" s="41">
        <v>44421</v>
      </c>
      <c r="AC6" s="103">
        <v>930.4</v>
      </c>
      <c r="AD6" s="41">
        <v>44453</v>
      </c>
      <c r="AE6" s="103">
        <v>930.4</v>
      </c>
      <c r="AF6" s="41">
        <v>44482</v>
      </c>
      <c r="AG6" s="103">
        <v>930.4</v>
      </c>
      <c r="AH6" s="104">
        <v>44523</v>
      </c>
      <c r="AI6" s="103">
        <v>930.4</v>
      </c>
      <c r="AJ6" s="104">
        <v>44557</v>
      </c>
      <c r="AK6" s="106">
        <v>930.4</v>
      </c>
    </row>
    <row r="7" spans="1:37" s="1" customFormat="1" x14ac:dyDescent="0.25">
      <c r="A7" s="119"/>
      <c r="B7" s="25" t="s">
        <v>212</v>
      </c>
      <c r="C7" s="25"/>
      <c r="D7" s="26"/>
      <c r="E7" s="26" t="s">
        <v>181</v>
      </c>
      <c r="F7" s="71" t="s">
        <v>13</v>
      </c>
      <c r="G7" s="79" t="s">
        <v>218</v>
      </c>
      <c r="H7" s="80">
        <v>44891</v>
      </c>
      <c r="I7" s="72"/>
      <c r="J7" s="27"/>
      <c r="K7" s="27"/>
      <c r="L7" s="25" t="s">
        <v>78</v>
      </c>
      <c r="M7" s="25"/>
      <c r="N7" s="41" t="s">
        <v>181</v>
      </c>
      <c r="O7" s="103" t="s">
        <v>181</v>
      </c>
      <c r="P7" s="41" t="s">
        <v>181</v>
      </c>
      <c r="Q7" s="103" t="s">
        <v>181</v>
      </c>
      <c r="R7" s="41" t="s">
        <v>181</v>
      </c>
      <c r="S7" s="103" t="s">
        <v>181</v>
      </c>
      <c r="T7" s="41" t="s">
        <v>181</v>
      </c>
      <c r="U7" s="103" t="s">
        <v>181</v>
      </c>
      <c r="V7" s="41" t="s">
        <v>181</v>
      </c>
      <c r="W7" s="103" t="s">
        <v>181</v>
      </c>
      <c r="X7" s="41" t="s">
        <v>181</v>
      </c>
      <c r="Y7" s="103" t="s">
        <v>181</v>
      </c>
      <c r="Z7" s="41" t="s">
        <v>181</v>
      </c>
      <c r="AA7" s="103" t="s">
        <v>181</v>
      </c>
      <c r="AB7" s="41" t="s">
        <v>181</v>
      </c>
      <c r="AC7" s="103" t="s">
        <v>181</v>
      </c>
      <c r="AD7" s="41" t="s">
        <v>181</v>
      </c>
      <c r="AE7" s="103" t="s">
        <v>181</v>
      </c>
      <c r="AF7" s="41" t="s">
        <v>181</v>
      </c>
      <c r="AG7" s="103" t="s">
        <v>181</v>
      </c>
      <c r="AH7" s="104" t="s">
        <v>181</v>
      </c>
      <c r="AI7" s="103" t="s">
        <v>181</v>
      </c>
      <c r="AJ7" s="104" t="s">
        <v>181</v>
      </c>
      <c r="AK7" s="106" t="s">
        <v>181</v>
      </c>
    </row>
    <row r="8" spans="1:37" s="1" customFormat="1" ht="15.75" thickBot="1" x14ac:dyDescent="0.3">
      <c r="A8" s="25"/>
      <c r="B8" s="25" t="s">
        <v>213</v>
      </c>
      <c r="C8" s="25"/>
      <c r="D8" s="26">
        <v>43405</v>
      </c>
      <c r="E8" s="26" t="s">
        <v>181</v>
      </c>
      <c r="F8" s="71" t="s">
        <v>28</v>
      </c>
      <c r="G8" s="76" t="s">
        <v>218</v>
      </c>
      <c r="H8" s="77">
        <v>44891</v>
      </c>
      <c r="I8" s="72"/>
      <c r="J8" s="27"/>
      <c r="K8" s="27"/>
      <c r="L8" s="25" t="s">
        <v>78</v>
      </c>
      <c r="M8" s="25"/>
      <c r="N8" s="41" t="s">
        <v>181</v>
      </c>
      <c r="O8" s="103" t="s">
        <v>181</v>
      </c>
      <c r="P8" s="41" t="s">
        <v>181</v>
      </c>
      <c r="Q8" s="103" t="s">
        <v>181</v>
      </c>
      <c r="R8" s="41" t="s">
        <v>181</v>
      </c>
      <c r="S8" s="103" t="s">
        <v>181</v>
      </c>
      <c r="T8" s="41" t="s">
        <v>181</v>
      </c>
      <c r="U8" s="103" t="s">
        <v>181</v>
      </c>
      <c r="V8" s="41" t="s">
        <v>181</v>
      </c>
      <c r="W8" s="103" t="s">
        <v>181</v>
      </c>
      <c r="X8" s="41" t="s">
        <v>181</v>
      </c>
      <c r="Y8" s="103" t="s">
        <v>181</v>
      </c>
      <c r="Z8" s="41" t="s">
        <v>181</v>
      </c>
      <c r="AA8" s="103" t="s">
        <v>181</v>
      </c>
      <c r="AB8" s="41" t="s">
        <v>181</v>
      </c>
      <c r="AC8" s="103" t="s">
        <v>181</v>
      </c>
      <c r="AD8" s="41" t="s">
        <v>181</v>
      </c>
      <c r="AE8" s="103" t="s">
        <v>181</v>
      </c>
      <c r="AF8" s="41" t="s">
        <v>181</v>
      </c>
      <c r="AG8" s="103" t="s">
        <v>181</v>
      </c>
      <c r="AH8" s="104" t="s">
        <v>181</v>
      </c>
      <c r="AI8" s="103" t="s">
        <v>181</v>
      </c>
      <c r="AJ8" s="104" t="s">
        <v>181</v>
      </c>
      <c r="AK8" s="106" t="s">
        <v>181</v>
      </c>
    </row>
    <row r="9" spans="1:37" s="1" customFormat="1" ht="15.75" thickBot="1" x14ac:dyDescent="0.3">
      <c r="A9" s="119">
        <v>5</v>
      </c>
      <c r="B9" s="25" t="s">
        <v>231</v>
      </c>
      <c r="C9" s="25" t="s">
        <v>232</v>
      </c>
      <c r="D9" s="26">
        <v>43616</v>
      </c>
      <c r="E9" s="26"/>
      <c r="F9" s="71" t="s">
        <v>13</v>
      </c>
      <c r="G9" s="91" t="s">
        <v>89</v>
      </c>
      <c r="H9" s="92" t="s">
        <v>7</v>
      </c>
      <c r="I9" s="72">
        <v>202</v>
      </c>
      <c r="J9" s="27" t="s">
        <v>141</v>
      </c>
      <c r="K9" s="27" t="s">
        <v>266</v>
      </c>
      <c r="L9" s="25" t="s">
        <v>78</v>
      </c>
      <c r="M9" s="25"/>
      <c r="N9" s="108" t="s">
        <v>271</v>
      </c>
      <c r="O9" s="108" t="s">
        <v>271</v>
      </c>
      <c r="P9" s="108" t="s">
        <v>271</v>
      </c>
      <c r="Q9" s="108" t="s">
        <v>271</v>
      </c>
      <c r="R9" s="108" t="s">
        <v>271</v>
      </c>
      <c r="S9" s="108" t="s">
        <v>271</v>
      </c>
      <c r="T9" s="108" t="s">
        <v>271</v>
      </c>
      <c r="U9" s="108" t="s">
        <v>271</v>
      </c>
      <c r="V9" s="108" t="s">
        <v>271</v>
      </c>
      <c r="W9" s="108" t="s">
        <v>271</v>
      </c>
      <c r="X9" s="108" t="s">
        <v>271</v>
      </c>
      <c r="Y9" s="108" t="s">
        <v>271</v>
      </c>
      <c r="Z9" s="108" t="s">
        <v>271</v>
      </c>
      <c r="AA9" s="108" t="s">
        <v>271</v>
      </c>
      <c r="AB9" s="41">
        <v>44411</v>
      </c>
      <c r="AC9" s="102">
        <v>202</v>
      </c>
      <c r="AD9" s="41">
        <v>44441</v>
      </c>
      <c r="AE9" s="102">
        <v>202</v>
      </c>
      <c r="AF9" s="41">
        <v>44470</v>
      </c>
      <c r="AG9" s="103">
        <v>202</v>
      </c>
      <c r="AH9" s="104">
        <v>44504</v>
      </c>
      <c r="AI9" s="103">
        <v>202</v>
      </c>
      <c r="AJ9" s="104">
        <v>44532</v>
      </c>
      <c r="AK9" s="106">
        <v>202</v>
      </c>
    </row>
    <row r="10" spans="1:37" s="1" customFormat="1" x14ac:dyDescent="0.25">
      <c r="A10" s="25"/>
      <c r="B10" s="25" t="s">
        <v>212</v>
      </c>
      <c r="C10" s="25"/>
      <c r="D10" s="26"/>
      <c r="E10" s="26" t="s">
        <v>181</v>
      </c>
      <c r="F10" s="71" t="s">
        <v>13</v>
      </c>
      <c r="G10" s="79" t="s">
        <v>218</v>
      </c>
      <c r="H10" s="80">
        <v>44756</v>
      </c>
      <c r="I10" s="72"/>
      <c r="J10" s="27"/>
      <c r="K10" s="27"/>
      <c r="L10" s="25" t="s">
        <v>78</v>
      </c>
      <c r="M10" s="25"/>
      <c r="N10" s="103" t="s">
        <v>181</v>
      </c>
      <c r="O10" s="104" t="s">
        <v>181</v>
      </c>
      <c r="P10" s="104" t="s">
        <v>181</v>
      </c>
      <c r="Q10" s="104" t="s">
        <v>181</v>
      </c>
      <c r="R10" s="41" t="s">
        <v>181</v>
      </c>
      <c r="S10" s="103" t="s">
        <v>181</v>
      </c>
      <c r="T10" s="41" t="s">
        <v>181</v>
      </c>
      <c r="U10" s="103" t="s">
        <v>181</v>
      </c>
      <c r="V10" s="41" t="s">
        <v>181</v>
      </c>
      <c r="W10" s="103" t="s">
        <v>181</v>
      </c>
      <c r="X10" s="41" t="s">
        <v>181</v>
      </c>
      <c r="Y10" s="103" t="s">
        <v>181</v>
      </c>
      <c r="Z10" s="103" t="s">
        <v>181</v>
      </c>
      <c r="AA10" s="103" t="s">
        <v>181</v>
      </c>
      <c r="AB10" s="41" t="s">
        <v>181</v>
      </c>
      <c r="AC10" s="103" t="s">
        <v>181</v>
      </c>
      <c r="AD10" s="41" t="s">
        <v>181</v>
      </c>
      <c r="AE10" s="103" t="s">
        <v>181</v>
      </c>
      <c r="AF10" s="41" t="s">
        <v>181</v>
      </c>
      <c r="AG10" s="103" t="s">
        <v>181</v>
      </c>
      <c r="AH10" s="104" t="s">
        <v>181</v>
      </c>
      <c r="AI10" s="103" t="s">
        <v>181</v>
      </c>
      <c r="AJ10" s="104" t="s">
        <v>181</v>
      </c>
      <c r="AK10" s="106" t="s">
        <v>181</v>
      </c>
    </row>
    <row r="11" spans="1:37" s="1" customFormat="1" ht="15.75" thickBot="1" x14ac:dyDescent="0.3">
      <c r="A11" s="119"/>
      <c r="B11" s="25" t="s">
        <v>213</v>
      </c>
      <c r="C11" s="25"/>
      <c r="D11" s="26">
        <v>43405</v>
      </c>
      <c r="E11" s="26" t="s">
        <v>181</v>
      </c>
      <c r="F11" s="71" t="s">
        <v>28</v>
      </c>
      <c r="G11" s="76" t="s">
        <v>218</v>
      </c>
      <c r="H11" s="77">
        <v>44756</v>
      </c>
      <c r="I11" s="72"/>
      <c r="J11" s="27"/>
      <c r="K11" s="27"/>
      <c r="L11" s="25" t="s">
        <v>78</v>
      </c>
      <c r="M11" s="25"/>
      <c r="N11" s="103" t="s">
        <v>181</v>
      </c>
      <c r="O11" s="104" t="s">
        <v>181</v>
      </c>
      <c r="P11" s="104" t="s">
        <v>181</v>
      </c>
      <c r="Q11" s="104" t="s">
        <v>181</v>
      </c>
      <c r="R11" s="41" t="s">
        <v>181</v>
      </c>
      <c r="S11" s="103" t="s">
        <v>181</v>
      </c>
      <c r="T11" s="41" t="s">
        <v>181</v>
      </c>
      <c r="U11" s="103" t="s">
        <v>181</v>
      </c>
      <c r="V11" s="41" t="s">
        <v>181</v>
      </c>
      <c r="W11" s="103" t="s">
        <v>181</v>
      </c>
      <c r="X11" s="41" t="s">
        <v>181</v>
      </c>
      <c r="Y11" s="103" t="s">
        <v>181</v>
      </c>
      <c r="Z11" s="103" t="s">
        <v>181</v>
      </c>
      <c r="AA11" s="103" t="s">
        <v>181</v>
      </c>
      <c r="AB11" s="41" t="s">
        <v>181</v>
      </c>
      <c r="AC11" s="103" t="s">
        <v>181</v>
      </c>
      <c r="AD11" s="41" t="s">
        <v>181</v>
      </c>
      <c r="AE11" s="103" t="s">
        <v>181</v>
      </c>
      <c r="AF11" s="41" t="s">
        <v>181</v>
      </c>
      <c r="AG11" s="103" t="s">
        <v>181</v>
      </c>
      <c r="AH11" s="104" t="s">
        <v>181</v>
      </c>
      <c r="AI11" s="103" t="s">
        <v>181</v>
      </c>
      <c r="AJ11" s="104" t="s">
        <v>181</v>
      </c>
      <c r="AK11" s="106" t="s">
        <v>181</v>
      </c>
    </row>
    <row r="12" spans="1:37" s="1" customFormat="1" ht="15.75" thickBot="1" x14ac:dyDescent="0.3">
      <c r="A12" s="25">
        <v>6</v>
      </c>
      <c r="B12" s="25" t="s">
        <v>231</v>
      </c>
      <c r="C12" s="25" t="s">
        <v>261</v>
      </c>
      <c r="D12" s="26">
        <v>43769</v>
      </c>
      <c r="E12" s="26"/>
      <c r="F12" s="71" t="s">
        <v>13</v>
      </c>
      <c r="G12" s="91" t="s">
        <v>89</v>
      </c>
      <c r="H12" s="92" t="s">
        <v>7</v>
      </c>
      <c r="I12" s="72">
        <v>202</v>
      </c>
      <c r="J12" s="27" t="s">
        <v>141</v>
      </c>
      <c r="K12" s="27" t="s">
        <v>266</v>
      </c>
      <c r="L12" s="25" t="s">
        <v>78</v>
      </c>
      <c r="M12" s="25"/>
      <c r="N12" s="108" t="s">
        <v>271</v>
      </c>
      <c r="O12" s="108" t="s">
        <v>271</v>
      </c>
      <c r="P12" s="108" t="s">
        <v>271</v>
      </c>
      <c r="Q12" s="108" t="s">
        <v>271</v>
      </c>
      <c r="R12" s="108" t="s">
        <v>271</v>
      </c>
      <c r="S12" s="108" t="s">
        <v>271</v>
      </c>
      <c r="T12" s="108" t="s">
        <v>271</v>
      </c>
      <c r="U12" s="108" t="s">
        <v>271</v>
      </c>
      <c r="V12" s="108" t="s">
        <v>271</v>
      </c>
      <c r="W12" s="108" t="s">
        <v>271</v>
      </c>
      <c r="X12" s="108" t="s">
        <v>271</v>
      </c>
      <c r="Y12" s="108" t="s">
        <v>271</v>
      </c>
      <c r="Z12" s="108" t="s">
        <v>271</v>
      </c>
      <c r="AA12" s="108" t="s">
        <v>271</v>
      </c>
      <c r="AB12" s="41">
        <v>44411</v>
      </c>
      <c r="AC12" s="102">
        <v>202</v>
      </c>
      <c r="AD12" s="41">
        <v>44441</v>
      </c>
      <c r="AE12" s="102">
        <f>492.78-202</f>
        <v>290.77999999999997</v>
      </c>
      <c r="AF12" s="41">
        <v>44470</v>
      </c>
      <c r="AG12" s="103">
        <v>202</v>
      </c>
      <c r="AH12" s="104">
        <v>44504</v>
      </c>
      <c r="AI12" s="103">
        <v>202</v>
      </c>
      <c r="AJ12" s="104">
        <v>44532</v>
      </c>
      <c r="AK12" s="106">
        <v>202</v>
      </c>
    </row>
    <row r="13" spans="1:37" s="1" customFormat="1" x14ac:dyDescent="0.25">
      <c r="A13" s="119"/>
      <c r="B13" s="25" t="s">
        <v>212</v>
      </c>
      <c r="C13" s="25"/>
      <c r="D13" s="26"/>
      <c r="E13" s="26" t="s">
        <v>181</v>
      </c>
      <c r="F13" s="71" t="s">
        <v>13</v>
      </c>
      <c r="G13" s="79" t="s">
        <v>218</v>
      </c>
      <c r="H13" s="80">
        <v>44756</v>
      </c>
      <c r="I13" s="72"/>
      <c r="J13" s="27"/>
      <c r="K13" s="27"/>
      <c r="L13" s="25" t="s">
        <v>78</v>
      </c>
      <c r="M13" s="25"/>
      <c r="N13" s="41" t="s">
        <v>181</v>
      </c>
      <c r="O13" s="103" t="s">
        <v>181</v>
      </c>
      <c r="P13" s="41" t="s">
        <v>181</v>
      </c>
      <c r="Q13" s="103" t="s">
        <v>181</v>
      </c>
      <c r="R13" s="41" t="s">
        <v>181</v>
      </c>
      <c r="S13" s="103" t="s">
        <v>181</v>
      </c>
      <c r="T13" s="41" t="s">
        <v>181</v>
      </c>
      <c r="U13" s="103" t="s">
        <v>181</v>
      </c>
      <c r="V13" s="41" t="s">
        <v>181</v>
      </c>
      <c r="W13" s="103" t="s">
        <v>181</v>
      </c>
      <c r="X13" s="41" t="s">
        <v>181</v>
      </c>
      <c r="Y13" s="103" t="s">
        <v>181</v>
      </c>
      <c r="Z13" s="41" t="s">
        <v>181</v>
      </c>
      <c r="AA13" s="103" t="s">
        <v>181</v>
      </c>
      <c r="AB13" s="41" t="s">
        <v>181</v>
      </c>
      <c r="AC13" s="103" t="s">
        <v>181</v>
      </c>
      <c r="AD13" s="41" t="s">
        <v>181</v>
      </c>
      <c r="AE13" s="103" t="s">
        <v>181</v>
      </c>
      <c r="AF13" s="41" t="s">
        <v>181</v>
      </c>
      <c r="AG13" s="103" t="s">
        <v>181</v>
      </c>
      <c r="AH13" s="104" t="s">
        <v>181</v>
      </c>
      <c r="AI13" s="103" t="s">
        <v>181</v>
      </c>
      <c r="AJ13" s="104" t="s">
        <v>181</v>
      </c>
      <c r="AK13" s="106" t="s">
        <v>181</v>
      </c>
    </row>
    <row r="14" spans="1:37" s="1" customFormat="1" ht="15.75" thickBot="1" x14ac:dyDescent="0.3">
      <c r="A14" s="25"/>
      <c r="B14" s="25" t="s">
        <v>213</v>
      </c>
      <c r="C14" s="25"/>
      <c r="D14" s="26">
        <v>43405</v>
      </c>
      <c r="E14" s="26" t="s">
        <v>181</v>
      </c>
      <c r="F14" s="71" t="s">
        <v>28</v>
      </c>
      <c r="G14" s="76" t="s">
        <v>218</v>
      </c>
      <c r="H14" s="77">
        <v>44756</v>
      </c>
      <c r="I14" s="72"/>
      <c r="J14" s="27"/>
      <c r="K14" s="27"/>
      <c r="L14" s="25" t="s">
        <v>78</v>
      </c>
      <c r="M14" s="25"/>
      <c r="N14" s="41" t="s">
        <v>181</v>
      </c>
      <c r="O14" s="103" t="s">
        <v>181</v>
      </c>
      <c r="P14" s="41" t="s">
        <v>181</v>
      </c>
      <c r="Q14" s="103" t="s">
        <v>181</v>
      </c>
      <c r="R14" s="41" t="s">
        <v>181</v>
      </c>
      <c r="S14" s="103" t="s">
        <v>181</v>
      </c>
      <c r="T14" s="41" t="s">
        <v>181</v>
      </c>
      <c r="U14" s="103" t="s">
        <v>181</v>
      </c>
      <c r="V14" s="41" t="s">
        <v>181</v>
      </c>
      <c r="W14" s="103" t="s">
        <v>181</v>
      </c>
      <c r="X14" s="41" t="s">
        <v>181</v>
      </c>
      <c r="Y14" s="103" t="s">
        <v>181</v>
      </c>
      <c r="Z14" s="41" t="s">
        <v>181</v>
      </c>
      <c r="AA14" s="103" t="s">
        <v>181</v>
      </c>
      <c r="AB14" s="41" t="s">
        <v>181</v>
      </c>
      <c r="AC14" s="103" t="s">
        <v>181</v>
      </c>
      <c r="AD14" s="41" t="s">
        <v>181</v>
      </c>
      <c r="AE14" s="103" t="s">
        <v>181</v>
      </c>
      <c r="AF14" s="41" t="s">
        <v>181</v>
      </c>
      <c r="AG14" s="103" t="s">
        <v>181</v>
      </c>
      <c r="AH14" s="104" t="s">
        <v>181</v>
      </c>
      <c r="AI14" s="103" t="s">
        <v>181</v>
      </c>
      <c r="AJ14" s="104" t="s">
        <v>181</v>
      </c>
      <c r="AK14" s="106" t="s">
        <v>181</v>
      </c>
    </row>
    <row r="15" spans="1:37" s="1" customFormat="1" ht="15.75" thickBot="1" x14ac:dyDescent="0.3">
      <c r="A15" s="25">
        <v>7</v>
      </c>
      <c r="B15" s="25" t="s">
        <v>231</v>
      </c>
      <c r="C15" s="25" t="s">
        <v>283</v>
      </c>
      <c r="D15" s="26">
        <v>44391</v>
      </c>
      <c r="E15" s="26"/>
      <c r="F15" s="71" t="s">
        <v>13</v>
      </c>
      <c r="G15" s="91" t="s">
        <v>89</v>
      </c>
      <c r="H15" s="92" t="s">
        <v>7</v>
      </c>
      <c r="I15" s="72">
        <v>202</v>
      </c>
      <c r="J15" s="27" t="s">
        <v>141</v>
      </c>
      <c r="K15" s="27" t="s">
        <v>266</v>
      </c>
      <c r="L15" s="25" t="s">
        <v>78</v>
      </c>
      <c r="M15" s="25"/>
      <c r="N15" s="41" t="s">
        <v>181</v>
      </c>
      <c r="O15" s="103" t="s">
        <v>181</v>
      </c>
      <c r="P15" s="41" t="s">
        <v>181</v>
      </c>
      <c r="Q15" s="103" t="s">
        <v>181</v>
      </c>
      <c r="R15" s="41" t="s">
        <v>181</v>
      </c>
      <c r="S15" s="103" t="s">
        <v>181</v>
      </c>
      <c r="T15" s="41" t="s">
        <v>181</v>
      </c>
      <c r="U15" s="103" t="s">
        <v>181</v>
      </c>
      <c r="V15" s="41" t="s">
        <v>181</v>
      </c>
      <c r="W15" s="103" t="s">
        <v>181</v>
      </c>
      <c r="X15" s="41" t="s">
        <v>181</v>
      </c>
      <c r="Y15" s="103" t="s">
        <v>181</v>
      </c>
      <c r="Z15" s="41" t="s">
        <v>181</v>
      </c>
      <c r="AA15" s="103" t="s">
        <v>181</v>
      </c>
      <c r="AB15" s="41" t="s">
        <v>181</v>
      </c>
      <c r="AC15" s="103" t="s">
        <v>181</v>
      </c>
      <c r="AD15" s="41" t="s">
        <v>181</v>
      </c>
      <c r="AE15" s="103" t="s">
        <v>181</v>
      </c>
      <c r="AF15" s="41" t="s">
        <v>181</v>
      </c>
      <c r="AG15" s="103" t="s">
        <v>181</v>
      </c>
      <c r="AH15" s="104" t="s">
        <v>181</v>
      </c>
      <c r="AI15" s="103" t="s">
        <v>181</v>
      </c>
      <c r="AJ15" s="104">
        <v>44557</v>
      </c>
      <c r="AK15" s="106">
        <v>202</v>
      </c>
    </row>
    <row r="16" spans="1:37" s="1" customFormat="1" x14ac:dyDescent="0.25">
      <c r="A16" s="119"/>
      <c r="B16" s="25" t="s">
        <v>212</v>
      </c>
      <c r="C16" s="25"/>
      <c r="D16" s="26"/>
      <c r="E16" s="26" t="s">
        <v>181</v>
      </c>
      <c r="F16" s="71" t="s">
        <v>13</v>
      </c>
      <c r="G16" s="79" t="s">
        <v>218</v>
      </c>
      <c r="H16" s="80">
        <v>44868</v>
      </c>
      <c r="I16" s="72"/>
      <c r="J16" s="27"/>
      <c r="K16" s="27"/>
      <c r="L16" s="25" t="s">
        <v>78</v>
      </c>
      <c r="M16" s="25"/>
      <c r="N16" s="41" t="s">
        <v>181</v>
      </c>
      <c r="O16" s="103" t="s">
        <v>181</v>
      </c>
      <c r="P16" s="41" t="s">
        <v>181</v>
      </c>
      <c r="Q16" s="103" t="s">
        <v>181</v>
      </c>
      <c r="R16" s="41" t="s">
        <v>181</v>
      </c>
      <c r="S16" s="103" t="s">
        <v>181</v>
      </c>
      <c r="T16" s="41" t="s">
        <v>181</v>
      </c>
      <c r="U16" s="103" t="s">
        <v>181</v>
      </c>
      <c r="V16" s="41" t="s">
        <v>181</v>
      </c>
      <c r="W16" s="103" t="s">
        <v>181</v>
      </c>
      <c r="X16" s="41" t="s">
        <v>181</v>
      </c>
      <c r="Y16" s="103" t="s">
        <v>181</v>
      </c>
      <c r="Z16" s="41" t="s">
        <v>181</v>
      </c>
      <c r="AA16" s="103" t="s">
        <v>181</v>
      </c>
      <c r="AB16" s="41" t="s">
        <v>181</v>
      </c>
      <c r="AC16" s="103" t="s">
        <v>181</v>
      </c>
      <c r="AD16" s="41" t="s">
        <v>181</v>
      </c>
      <c r="AE16" s="103" t="s">
        <v>181</v>
      </c>
      <c r="AF16" s="41" t="s">
        <v>181</v>
      </c>
      <c r="AG16" s="103" t="s">
        <v>181</v>
      </c>
      <c r="AH16" s="104" t="s">
        <v>181</v>
      </c>
      <c r="AI16" s="103" t="s">
        <v>181</v>
      </c>
      <c r="AJ16" s="104" t="s">
        <v>181</v>
      </c>
      <c r="AK16" s="106" t="s">
        <v>181</v>
      </c>
    </row>
    <row r="17" spans="1:37" s="1" customFormat="1" ht="15.75" thickBot="1" x14ac:dyDescent="0.3">
      <c r="A17" s="25"/>
      <c r="B17" s="25" t="s">
        <v>213</v>
      </c>
      <c r="C17" s="25"/>
      <c r="D17" s="26">
        <v>43405</v>
      </c>
      <c r="E17" s="26" t="s">
        <v>181</v>
      </c>
      <c r="F17" s="71" t="s">
        <v>28</v>
      </c>
      <c r="G17" s="76" t="s">
        <v>218</v>
      </c>
      <c r="H17" s="77">
        <v>44868</v>
      </c>
      <c r="I17" s="72"/>
      <c r="J17" s="27"/>
      <c r="K17" s="27"/>
      <c r="L17" s="25" t="s">
        <v>78</v>
      </c>
      <c r="M17" s="25"/>
      <c r="N17" s="41" t="s">
        <v>181</v>
      </c>
      <c r="O17" s="103" t="s">
        <v>181</v>
      </c>
      <c r="P17" s="41" t="s">
        <v>181</v>
      </c>
      <c r="Q17" s="103" t="s">
        <v>181</v>
      </c>
      <c r="R17" s="41" t="s">
        <v>181</v>
      </c>
      <c r="S17" s="103" t="s">
        <v>181</v>
      </c>
      <c r="T17" s="41" t="s">
        <v>181</v>
      </c>
      <c r="U17" s="103" t="s">
        <v>181</v>
      </c>
      <c r="V17" s="41" t="s">
        <v>181</v>
      </c>
      <c r="W17" s="103" t="s">
        <v>181</v>
      </c>
      <c r="X17" s="41" t="s">
        <v>181</v>
      </c>
      <c r="Y17" s="103" t="s">
        <v>181</v>
      </c>
      <c r="Z17" s="41" t="s">
        <v>181</v>
      </c>
      <c r="AA17" s="103" t="s">
        <v>181</v>
      </c>
      <c r="AB17" s="41" t="s">
        <v>181</v>
      </c>
      <c r="AC17" s="103" t="s">
        <v>181</v>
      </c>
      <c r="AD17" s="41" t="s">
        <v>181</v>
      </c>
      <c r="AE17" s="103" t="s">
        <v>181</v>
      </c>
      <c r="AF17" s="41" t="s">
        <v>181</v>
      </c>
      <c r="AG17" s="103" t="s">
        <v>181</v>
      </c>
      <c r="AH17" s="104" t="s">
        <v>181</v>
      </c>
      <c r="AI17" s="103" t="s">
        <v>181</v>
      </c>
      <c r="AJ17" s="104" t="s">
        <v>181</v>
      </c>
      <c r="AK17" s="106" t="s">
        <v>181</v>
      </c>
    </row>
    <row r="18" spans="1:37" s="1" customFormat="1" ht="15.75" thickBot="1" x14ac:dyDescent="0.3">
      <c r="A18" s="119">
        <v>8</v>
      </c>
      <c r="B18" s="25" t="s">
        <v>44</v>
      </c>
      <c r="C18" s="25" t="s">
        <v>86</v>
      </c>
      <c r="D18" s="26">
        <v>38979</v>
      </c>
      <c r="E18" s="26" t="s">
        <v>181</v>
      </c>
      <c r="F18" s="26" t="s">
        <v>6</v>
      </c>
      <c r="G18" s="73" t="s">
        <v>89</v>
      </c>
      <c r="H18" s="73" t="s">
        <v>211</v>
      </c>
      <c r="I18" s="27">
        <v>1230.56</v>
      </c>
      <c r="J18" s="27" t="s">
        <v>110</v>
      </c>
      <c r="K18" s="27" t="s">
        <v>192</v>
      </c>
      <c r="L18" s="25" t="s">
        <v>78</v>
      </c>
      <c r="M18" s="25"/>
      <c r="N18" s="41">
        <v>44202</v>
      </c>
      <c r="O18" s="103">
        <v>1417.96</v>
      </c>
      <c r="P18" s="41">
        <v>44230</v>
      </c>
      <c r="Q18" s="103">
        <v>1417.96</v>
      </c>
      <c r="R18" s="41">
        <v>44258</v>
      </c>
      <c r="S18" s="103">
        <v>1417.96</v>
      </c>
      <c r="T18" s="41">
        <v>44292</v>
      </c>
      <c r="U18" s="103">
        <v>1417.96</v>
      </c>
      <c r="V18" s="41">
        <v>44321</v>
      </c>
      <c r="W18" s="103">
        <v>1417.96</v>
      </c>
      <c r="X18" s="41">
        <v>44351</v>
      </c>
      <c r="Y18" s="103">
        <v>1417.96</v>
      </c>
      <c r="Z18" s="41">
        <v>44382</v>
      </c>
      <c r="AA18" s="103">
        <v>1417.96</v>
      </c>
      <c r="AB18" s="41">
        <v>44412</v>
      </c>
      <c r="AC18" s="103">
        <v>1417.96</v>
      </c>
      <c r="AD18" s="41">
        <v>44453</v>
      </c>
      <c r="AE18" s="103">
        <v>1817.9</v>
      </c>
      <c r="AF18" s="41">
        <v>44474</v>
      </c>
      <c r="AG18" s="103">
        <v>1817.9</v>
      </c>
      <c r="AH18" s="104">
        <v>44508</v>
      </c>
      <c r="AI18" s="103">
        <v>1817.9</v>
      </c>
      <c r="AJ18" s="104">
        <v>44533</v>
      </c>
      <c r="AK18" s="106">
        <v>1817.9</v>
      </c>
    </row>
    <row r="19" spans="1:37" s="1" customFormat="1" x14ac:dyDescent="0.25">
      <c r="A19" s="25"/>
      <c r="B19" s="25" t="s">
        <v>212</v>
      </c>
      <c r="C19" s="25"/>
      <c r="D19" s="26">
        <v>43530</v>
      </c>
      <c r="E19" s="26" t="s">
        <v>181</v>
      </c>
      <c r="F19" s="71" t="s">
        <v>13</v>
      </c>
      <c r="G19" s="74" t="s">
        <v>218</v>
      </c>
      <c r="H19" s="75">
        <v>44558</v>
      </c>
      <c r="I19" s="72"/>
      <c r="J19" s="27"/>
      <c r="K19" s="27"/>
      <c r="L19" s="25" t="s">
        <v>78</v>
      </c>
      <c r="M19" s="25"/>
      <c r="N19" s="41" t="s">
        <v>181</v>
      </c>
      <c r="O19" s="103" t="s">
        <v>181</v>
      </c>
      <c r="P19" s="41" t="s">
        <v>181</v>
      </c>
      <c r="Q19" s="103" t="s">
        <v>181</v>
      </c>
      <c r="R19" s="41" t="s">
        <v>181</v>
      </c>
      <c r="S19" s="103" t="s">
        <v>181</v>
      </c>
      <c r="T19" s="41" t="s">
        <v>181</v>
      </c>
      <c r="U19" s="103" t="s">
        <v>181</v>
      </c>
      <c r="V19" s="41" t="s">
        <v>181</v>
      </c>
      <c r="W19" s="103" t="s">
        <v>181</v>
      </c>
      <c r="X19" s="41" t="s">
        <v>181</v>
      </c>
      <c r="Y19" s="103" t="s">
        <v>181</v>
      </c>
      <c r="Z19" s="41" t="s">
        <v>181</v>
      </c>
      <c r="AA19" s="103" t="s">
        <v>181</v>
      </c>
      <c r="AB19" s="41" t="s">
        <v>181</v>
      </c>
      <c r="AC19" s="103" t="s">
        <v>181</v>
      </c>
      <c r="AD19" s="41" t="s">
        <v>181</v>
      </c>
      <c r="AE19" s="103" t="s">
        <v>181</v>
      </c>
      <c r="AF19" s="41" t="s">
        <v>181</v>
      </c>
      <c r="AG19" s="103" t="s">
        <v>181</v>
      </c>
      <c r="AH19" s="104" t="s">
        <v>181</v>
      </c>
      <c r="AI19" s="103" t="s">
        <v>181</v>
      </c>
      <c r="AJ19" s="104" t="s">
        <v>181</v>
      </c>
      <c r="AK19" s="106" t="s">
        <v>181</v>
      </c>
    </row>
    <row r="20" spans="1:37" s="1" customFormat="1" ht="15.75" thickBot="1" x14ac:dyDescent="0.3">
      <c r="A20" s="119"/>
      <c r="B20" s="25" t="s">
        <v>213</v>
      </c>
      <c r="C20" s="25"/>
      <c r="D20" s="26">
        <v>43344</v>
      </c>
      <c r="E20" s="26" t="s">
        <v>181</v>
      </c>
      <c r="F20" s="71" t="s">
        <v>13</v>
      </c>
      <c r="G20" s="76" t="s">
        <v>218</v>
      </c>
      <c r="H20" s="77">
        <v>44804</v>
      </c>
      <c r="I20" s="72"/>
      <c r="J20" s="27"/>
      <c r="K20" s="27"/>
      <c r="L20" s="25" t="s">
        <v>78</v>
      </c>
      <c r="M20" s="25"/>
      <c r="N20" s="41" t="s">
        <v>181</v>
      </c>
      <c r="O20" s="103" t="s">
        <v>181</v>
      </c>
      <c r="P20" s="41" t="s">
        <v>181</v>
      </c>
      <c r="Q20" s="103" t="s">
        <v>181</v>
      </c>
      <c r="R20" s="41" t="s">
        <v>181</v>
      </c>
      <c r="S20" s="103" t="s">
        <v>181</v>
      </c>
      <c r="T20" s="41" t="s">
        <v>181</v>
      </c>
      <c r="U20" s="103" t="s">
        <v>181</v>
      </c>
      <c r="V20" s="41" t="s">
        <v>181</v>
      </c>
      <c r="W20" s="103" t="s">
        <v>181</v>
      </c>
      <c r="X20" s="41" t="s">
        <v>181</v>
      </c>
      <c r="Y20" s="103" t="s">
        <v>181</v>
      </c>
      <c r="Z20" s="41" t="s">
        <v>181</v>
      </c>
      <c r="AA20" s="103" t="s">
        <v>181</v>
      </c>
      <c r="AB20" s="41" t="s">
        <v>181</v>
      </c>
      <c r="AC20" s="103" t="s">
        <v>181</v>
      </c>
      <c r="AD20" s="41" t="s">
        <v>181</v>
      </c>
      <c r="AE20" s="103" t="s">
        <v>181</v>
      </c>
      <c r="AF20" s="41" t="s">
        <v>181</v>
      </c>
      <c r="AG20" s="103" t="s">
        <v>181</v>
      </c>
      <c r="AH20" s="104" t="s">
        <v>181</v>
      </c>
      <c r="AI20" s="103" t="s">
        <v>181</v>
      </c>
      <c r="AJ20" s="104" t="s">
        <v>181</v>
      </c>
      <c r="AK20" s="106" t="s">
        <v>181</v>
      </c>
    </row>
    <row r="21" spans="1:37" s="1" customFormat="1" x14ac:dyDescent="0.25">
      <c r="A21" s="25">
        <v>9</v>
      </c>
      <c r="B21" s="25" t="s">
        <v>230</v>
      </c>
      <c r="C21" s="25" t="s">
        <v>264</v>
      </c>
      <c r="D21" s="26">
        <v>43115</v>
      </c>
      <c r="E21" s="26" t="s">
        <v>181</v>
      </c>
      <c r="F21" s="71" t="s">
        <v>216</v>
      </c>
      <c r="G21" s="25" t="s">
        <v>217</v>
      </c>
      <c r="H21" s="25" t="s">
        <v>181</v>
      </c>
      <c r="I21" s="72">
        <v>3500</v>
      </c>
      <c r="J21" s="27" t="s">
        <v>140</v>
      </c>
      <c r="K21" s="27" t="s">
        <v>191</v>
      </c>
      <c r="L21" s="25" t="s">
        <v>78</v>
      </c>
      <c r="M21" s="25"/>
      <c r="N21" s="41">
        <v>44202</v>
      </c>
      <c r="O21" s="106">
        <v>2500</v>
      </c>
      <c r="P21" s="41">
        <v>44230</v>
      </c>
      <c r="Q21" s="106">
        <v>2500</v>
      </c>
      <c r="R21" s="41">
        <v>44272</v>
      </c>
      <c r="S21" s="106">
        <v>500</v>
      </c>
      <c r="T21" s="109">
        <v>44293</v>
      </c>
      <c r="U21" s="102">
        <v>2000</v>
      </c>
      <c r="V21" s="41">
        <v>44321</v>
      </c>
      <c r="W21" s="102">
        <v>2000</v>
      </c>
      <c r="X21" s="109">
        <v>44351</v>
      </c>
      <c r="Y21" s="103">
        <v>2000</v>
      </c>
      <c r="Z21" s="41">
        <v>44389</v>
      </c>
      <c r="AA21" s="103">
        <v>2000</v>
      </c>
      <c r="AB21" s="41">
        <v>44419</v>
      </c>
      <c r="AC21" s="103">
        <v>2000</v>
      </c>
      <c r="AD21" s="41">
        <v>44447</v>
      </c>
      <c r="AE21" s="103">
        <v>2000</v>
      </c>
      <c r="AF21" s="41">
        <v>44475</v>
      </c>
      <c r="AG21" s="103">
        <v>2000</v>
      </c>
      <c r="AH21" s="104">
        <v>44504</v>
      </c>
      <c r="AI21" s="103">
        <v>2000</v>
      </c>
      <c r="AJ21" s="104">
        <v>44557</v>
      </c>
      <c r="AK21" s="106">
        <v>2000</v>
      </c>
    </row>
    <row r="22" spans="1:37" s="1" customFormat="1" x14ac:dyDescent="0.25">
      <c r="A22" s="119">
        <v>10</v>
      </c>
      <c r="B22" s="25" t="s">
        <v>265</v>
      </c>
      <c r="C22" s="25" t="s">
        <v>268</v>
      </c>
      <c r="D22" s="26" t="s">
        <v>181</v>
      </c>
      <c r="E22" s="26" t="s">
        <v>181</v>
      </c>
      <c r="F22" s="26">
        <v>44013</v>
      </c>
      <c r="G22" s="78"/>
      <c r="H22" s="78" t="s">
        <v>181</v>
      </c>
      <c r="I22" s="27">
        <v>2253.75</v>
      </c>
      <c r="J22" s="27" t="s">
        <v>111</v>
      </c>
      <c r="K22" s="27" t="s">
        <v>267</v>
      </c>
      <c r="L22" s="25" t="s">
        <v>78</v>
      </c>
      <c r="M22" s="25" t="s">
        <v>154</v>
      </c>
      <c r="N22" s="41">
        <v>44211</v>
      </c>
      <c r="O22" s="103">
        <v>850</v>
      </c>
      <c r="P22" s="41">
        <v>44238</v>
      </c>
      <c r="Q22" s="103">
        <v>850</v>
      </c>
      <c r="R22" s="41">
        <v>44259</v>
      </c>
      <c r="S22" s="102">
        <v>850</v>
      </c>
      <c r="T22" s="109">
        <v>44305</v>
      </c>
      <c r="U22" s="102">
        <v>850</v>
      </c>
      <c r="V22" s="109">
        <v>44329</v>
      </c>
      <c r="W22" s="102">
        <v>850</v>
      </c>
      <c r="X22" s="109">
        <v>44375</v>
      </c>
      <c r="Y22" s="103">
        <v>850</v>
      </c>
      <c r="Z22" s="41">
        <v>44393</v>
      </c>
      <c r="AA22" s="103">
        <v>1153.8599999999999</v>
      </c>
      <c r="AB22" s="41">
        <v>44432</v>
      </c>
      <c r="AC22" s="103">
        <v>1153.8599999999999</v>
      </c>
      <c r="AD22" s="41">
        <v>24.09</v>
      </c>
      <c r="AE22" s="103">
        <v>1153.8599999999999</v>
      </c>
      <c r="AF22" s="41">
        <v>44490</v>
      </c>
      <c r="AG22" s="103">
        <v>1153.8599999999999</v>
      </c>
      <c r="AH22" s="104">
        <v>44511</v>
      </c>
      <c r="AI22" s="103">
        <v>1153.8599999999999</v>
      </c>
      <c r="AJ22" s="104">
        <v>44557</v>
      </c>
      <c r="AK22" s="103">
        <v>1153.8599999999999</v>
      </c>
    </row>
    <row r="23" spans="1:37" s="1" customFormat="1" x14ac:dyDescent="0.25">
      <c r="A23" s="25">
        <v>11</v>
      </c>
      <c r="B23" s="2" t="s">
        <v>95</v>
      </c>
      <c r="C23" s="2" t="s">
        <v>96</v>
      </c>
      <c r="D23" s="3">
        <v>41459</v>
      </c>
      <c r="E23" s="26" t="s">
        <v>181</v>
      </c>
      <c r="F23" s="3" t="s">
        <v>6</v>
      </c>
      <c r="G23" s="2" t="s">
        <v>6</v>
      </c>
      <c r="H23" s="2" t="s">
        <v>181</v>
      </c>
      <c r="I23" s="4">
        <v>260</v>
      </c>
      <c r="J23" s="4" t="s">
        <v>147</v>
      </c>
      <c r="K23" s="4" t="s">
        <v>193</v>
      </c>
      <c r="L23" s="2" t="s">
        <v>78</v>
      </c>
      <c r="M23" s="68" t="s">
        <v>215</v>
      </c>
      <c r="N23" s="41">
        <v>44215</v>
      </c>
      <c r="O23" s="103">
        <v>250</v>
      </c>
      <c r="P23" s="41">
        <v>44245</v>
      </c>
      <c r="Q23" s="103">
        <v>500</v>
      </c>
      <c r="R23" s="41">
        <v>44278</v>
      </c>
      <c r="S23" s="103">
        <v>1000</v>
      </c>
      <c r="T23" s="104">
        <v>44305</v>
      </c>
      <c r="U23" s="102">
        <v>1350</v>
      </c>
      <c r="V23" s="109">
        <v>44334</v>
      </c>
      <c r="W23" s="102">
        <v>1080</v>
      </c>
      <c r="X23" s="109">
        <v>44369</v>
      </c>
      <c r="Y23" s="103">
        <v>810</v>
      </c>
      <c r="Z23" s="102" t="s">
        <v>278</v>
      </c>
      <c r="AA23" s="102" t="s">
        <v>278</v>
      </c>
      <c r="AB23" s="102" t="s">
        <v>278</v>
      </c>
      <c r="AC23" s="102" t="s">
        <v>278</v>
      </c>
      <c r="AD23" s="41">
        <v>44466</v>
      </c>
      <c r="AE23" s="103">
        <v>810</v>
      </c>
      <c r="AF23" s="41">
        <v>44497</v>
      </c>
      <c r="AG23" s="102">
        <v>540</v>
      </c>
      <c r="AH23" s="104">
        <v>44530</v>
      </c>
      <c r="AI23" s="103">
        <v>540</v>
      </c>
      <c r="AJ23" s="145" t="s">
        <v>284</v>
      </c>
      <c r="AK23" s="103"/>
    </row>
    <row r="24" spans="1:37" s="1" customFormat="1" x14ac:dyDescent="0.25">
      <c r="A24" s="119">
        <v>12</v>
      </c>
      <c r="B24" s="2" t="s">
        <v>150</v>
      </c>
      <c r="C24" s="2" t="s">
        <v>151</v>
      </c>
      <c r="D24" s="3">
        <v>43060</v>
      </c>
      <c r="E24" s="26" t="s">
        <v>181</v>
      </c>
      <c r="F24" s="3" t="s">
        <v>28</v>
      </c>
      <c r="G24" s="2" t="s">
        <v>217</v>
      </c>
      <c r="H24" s="2" t="s">
        <v>15</v>
      </c>
      <c r="I24" s="4">
        <v>4500</v>
      </c>
      <c r="J24" s="27" t="s">
        <v>110</v>
      </c>
      <c r="K24" s="27" t="s">
        <v>194</v>
      </c>
      <c r="L24" s="2" t="s">
        <v>78</v>
      </c>
      <c r="M24" s="2"/>
      <c r="N24" s="107">
        <v>44208</v>
      </c>
      <c r="O24" s="103">
        <v>4500</v>
      </c>
      <c r="P24" s="107">
        <v>44246</v>
      </c>
      <c r="Q24" s="103">
        <v>4500</v>
      </c>
      <c r="R24" s="41">
        <v>44271</v>
      </c>
      <c r="S24" s="103">
        <v>4500</v>
      </c>
      <c r="T24" s="104">
        <v>44300</v>
      </c>
      <c r="U24" s="102">
        <v>4500</v>
      </c>
      <c r="V24" s="109">
        <v>44328</v>
      </c>
      <c r="W24" s="108">
        <v>4500</v>
      </c>
      <c r="X24" s="109">
        <v>44358</v>
      </c>
      <c r="Y24" s="103">
        <v>4500</v>
      </c>
      <c r="Z24" s="41">
        <v>44389</v>
      </c>
      <c r="AA24" s="103">
        <v>4500</v>
      </c>
      <c r="AB24" s="41">
        <v>44421</v>
      </c>
      <c r="AC24" s="103">
        <v>4500</v>
      </c>
      <c r="AD24" s="41">
        <v>44452</v>
      </c>
      <c r="AE24" s="103">
        <v>4500</v>
      </c>
      <c r="AF24" s="41">
        <v>44482</v>
      </c>
      <c r="AG24" s="103">
        <v>4500</v>
      </c>
      <c r="AH24" s="104">
        <v>44526</v>
      </c>
      <c r="AI24" s="103">
        <v>4500</v>
      </c>
      <c r="AJ24" s="104">
        <v>44557</v>
      </c>
      <c r="AK24" s="103">
        <v>4500</v>
      </c>
    </row>
    <row r="25" spans="1:37" s="1" customFormat="1" x14ac:dyDescent="0.25">
      <c r="A25" s="25">
        <v>13</v>
      </c>
      <c r="B25" s="2" t="s">
        <v>158</v>
      </c>
      <c r="C25" s="2" t="s">
        <v>159</v>
      </c>
      <c r="D25" s="3" t="s">
        <v>181</v>
      </c>
      <c r="E25" s="26" t="s">
        <v>181</v>
      </c>
      <c r="F25" s="3" t="s">
        <v>181</v>
      </c>
      <c r="G25" s="2" t="s">
        <v>181</v>
      </c>
      <c r="H25" s="2" t="s">
        <v>181</v>
      </c>
      <c r="I25" s="4">
        <v>1132.8499999999999</v>
      </c>
      <c r="J25" s="27" t="s">
        <v>140</v>
      </c>
      <c r="K25" s="27" t="s">
        <v>185</v>
      </c>
      <c r="L25" s="2" t="s">
        <v>78</v>
      </c>
      <c r="M25" s="2"/>
      <c r="N25" s="107">
        <v>44207</v>
      </c>
      <c r="O25" s="103">
        <f>1005.51+210.06</f>
        <v>1215.57</v>
      </c>
      <c r="P25" s="107">
        <v>44231</v>
      </c>
      <c r="Q25" s="103">
        <f>1005.51+210.06</f>
        <v>1215.57</v>
      </c>
      <c r="R25" s="107">
        <v>44260</v>
      </c>
      <c r="S25" s="103">
        <f>1005.51+210.06</f>
        <v>1215.57</v>
      </c>
      <c r="T25" s="104">
        <v>44293</v>
      </c>
      <c r="U25" s="102">
        <f>1005.51+210.06</f>
        <v>1215.57</v>
      </c>
      <c r="V25" s="109">
        <v>44322</v>
      </c>
      <c r="W25" s="102">
        <f>210.06+1005.51</f>
        <v>1215.57</v>
      </c>
      <c r="X25" s="109">
        <v>44351</v>
      </c>
      <c r="Y25" s="103">
        <f>210.06+1005.51</f>
        <v>1215.57</v>
      </c>
      <c r="Z25" s="41">
        <v>44384</v>
      </c>
      <c r="AA25" s="103">
        <f>285.19+1365.11</f>
        <v>1650.3</v>
      </c>
      <c r="AB25" s="41">
        <v>44432</v>
      </c>
      <c r="AC25" s="103">
        <f>1365.11+285.19</f>
        <v>1650.3</v>
      </c>
      <c r="AD25" s="41">
        <v>44469</v>
      </c>
      <c r="AE25" s="103">
        <f>1365.11+285.19</f>
        <v>1650.3</v>
      </c>
      <c r="AF25" s="41">
        <v>44494</v>
      </c>
      <c r="AG25" s="103">
        <f>1365.11+285.19</f>
        <v>1650.3</v>
      </c>
      <c r="AH25" s="104">
        <v>44518</v>
      </c>
      <c r="AI25" s="103">
        <f>1365.11+285.19</f>
        <v>1650.3</v>
      </c>
      <c r="AJ25" s="104">
        <v>44900</v>
      </c>
      <c r="AK25" s="103">
        <f>1365.11+285.19</f>
        <v>1650.3</v>
      </c>
    </row>
    <row r="26" spans="1:37" s="1" customFormat="1" x14ac:dyDescent="0.25">
      <c r="A26" s="119">
        <v>14</v>
      </c>
      <c r="B26" s="2" t="s">
        <v>37</v>
      </c>
      <c r="C26" s="2" t="s">
        <v>172</v>
      </c>
      <c r="D26" s="3">
        <v>34719</v>
      </c>
      <c r="E26" s="115" t="s">
        <v>273</v>
      </c>
      <c r="F26" s="3"/>
      <c r="G26" s="68" t="s">
        <v>277</v>
      </c>
      <c r="H26" s="2"/>
      <c r="I26" s="4" t="s">
        <v>139</v>
      </c>
      <c r="J26" s="4" t="s">
        <v>170</v>
      </c>
      <c r="K26" s="4" t="s">
        <v>195</v>
      </c>
      <c r="L26" s="2" t="s">
        <v>78</v>
      </c>
      <c r="M26" s="2"/>
      <c r="N26" s="48" t="s">
        <v>181</v>
      </c>
      <c r="O26" s="48" t="s">
        <v>181</v>
      </c>
      <c r="P26" s="48" t="s">
        <v>181</v>
      </c>
      <c r="Q26" s="48" t="s">
        <v>181</v>
      </c>
      <c r="R26" s="48" t="s">
        <v>181</v>
      </c>
      <c r="S26" s="48" t="s">
        <v>181</v>
      </c>
      <c r="T26" s="104" t="s">
        <v>181</v>
      </c>
      <c r="U26" s="108" t="s">
        <v>181</v>
      </c>
      <c r="V26" s="109" t="s">
        <v>181</v>
      </c>
      <c r="W26" s="108" t="s">
        <v>181</v>
      </c>
      <c r="X26" s="109" t="s">
        <v>181</v>
      </c>
      <c r="Y26" s="103" t="s">
        <v>181</v>
      </c>
      <c r="Z26" s="41" t="s">
        <v>181</v>
      </c>
      <c r="AA26" s="103" t="s">
        <v>181</v>
      </c>
      <c r="AB26" s="41" t="s">
        <v>181</v>
      </c>
      <c r="AC26" s="103" t="s">
        <v>181</v>
      </c>
      <c r="AD26" s="41" t="s">
        <v>181</v>
      </c>
      <c r="AE26" s="103" t="s">
        <v>181</v>
      </c>
      <c r="AF26" s="41" t="s">
        <v>181</v>
      </c>
      <c r="AG26" s="103" t="s">
        <v>181</v>
      </c>
      <c r="AH26" s="104" t="s">
        <v>181</v>
      </c>
      <c r="AI26" s="103" t="s">
        <v>181</v>
      </c>
      <c r="AJ26" s="104" t="s">
        <v>181</v>
      </c>
      <c r="AK26" s="103" t="s">
        <v>181</v>
      </c>
    </row>
    <row r="27" spans="1:37" s="1" customFormat="1" x14ac:dyDescent="0.25">
      <c r="A27" s="25">
        <v>15</v>
      </c>
      <c r="B27" s="2" t="s">
        <v>38</v>
      </c>
      <c r="C27" s="2" t="s">
        <v>180</v>
      </c>
      <c r="D27" s="3" t="s">
        <v>181</v>
      </c>
      <c r="E27" s="3" t="s">
        <v>181</v>
      </c>
      <c r="F27" s="3" t="s">
        <v>181</v>
      </c>
      <c r="G27" s="68" t="s">
        <v>277</v>
      </c>
      <c r="H27" s="2"/>
      <c r="I27" s="4" t="s">
        <v>139</v>
      </c>
      <c r="J27" s="4" t="s">
        <v>170</v>
      </c>
      <c r="K27" s="4" t="s">
        <v>198</v>
      </c>
      <c r="L27" s="2" t="s">
        <v>78</v>
      </c>
      <c r="M27" s="2"/>
      <c r="N27" s="48" t="s">
        <v>181</v>
      </c>
      <c r="O27" s="48" t="s">
        <v>181</v>
      </c>
      <c r="P27" s="48" t="s">
        <v>181</v>
      </c>
      <c r="Q27" s="48" t="s">
        <v>181</v>
      </c>
      <c r="R27" s="48" t="s">
        <v>181</v>
      </c>
      <c r="S27" s="48" t="s">
        <v>181</v>
      </c>
      <c r="T27" s="104" t="s">
        <v>181</v>
      </c>
      <c r="U27" s="108" t="s">
        <v>181</v>
      </c>
      <c r="V27" s="109" t="s">
        <v>181</v>
      </c>
      <c r="W27" s="108" t="s">
        <v>181</v>
      </c>
      <c r="X27" s="109" t="s">
        <v>181</v>
      </c>
      <c r="Y27" s="103" t="s">
        <v>181</v>
      </c>
      <c r="Z27" s="41" t="s">
        <v>181</v>
      </c>
      <c r="AA27" s="103" t="s">
        <v>181</v>
      </c>
      <c r="AB27" s="41" t="s">
        <v>181</v>
      </c>
      <c r="AC27" s="103" t="s">
        <v>181</v>
      </c>
      <c r="AD27" s="41" t="s">
        <v>181</v>
      </c>
      <c r="AE27" s="103" t="s">
        <v>181</v>
      </c>
      <c r="AF27" s="41" t="s">
        <v>181</v>
      </c>
      <c r="AG27" s="103" t="s">
        <v>181</v>
      </c>
      <c r="AH27" s="104" t="s">
        <v>181</v>
      </c>
      <c r="AI27" s="103" t="s">
        <v>181</v>
      </c>
      <c r="AJ27" s="104" t="s">
        <v>181</v>
      </c>
      <c r="AK27" s="103" t="s">
        <v>181</v>
      </c>
    </row>
    <row r="28" spans="1:37" s="1" customFormat="1" x14ac:dyDescent="0.25">
      <c r="A28" s="119">
        <v>16</v>
      </c>
      <c r="B28" s="2" t="s">
        <v>176</v>
      </c>
      <c r="C28" s="2" t="s">
        <v>179</v>
      </c>
      <c r="D28" s="3" t="s">
        <v>181</v>
      </c>
      <c r="E28" s="3" t="s">
        <v>181</v>
      </c>
      <c r="F28" s="3" t="s">
        <v>181</v>
      </c>
      <c r="G28" s="2" t="s">
        <v>181</v>
      </c>
      <c r="H28" s="2" t="s">
        <v>181</v>
      </c>
      <c r="I28" s="4" t="s">
        <v>139</v>
      </c>
      <c r="J28" s="4" t="s">
        <v>170</v>
      </c>
      <c r="K28" s="4" t="s">
        <v>197</v>
      </c>
      <c r="L28" s="2" t="s">
        <v>78</v>
      </c>
      <c r="M28" s="2"/>
      <c r="N28" s="107">
        <v>44215</v>
      </c>
      <c r="O28" s="103">
        <v>611.04999999999995</v>
      </c>
      <c r="P28" s="107">
        <v>44230</v>
      </c>
      <c r="Q28" s="103">
        <v>582.42999999999995</v>
      </c>
      <c r="R28" s="107">
        <v>44272</v>
      </c>
      <c r="S28" s="103">
        <v>677.02</v>
      </c>
      <c r="T28" s="104">
        <v>44304</v>
      </c>
      <c r="U28" s="102">
        <v>733.05</v>
      </c>
      <c r="V28" s="109">
        <v>44334</v>
      </c>
      <c r="W28" s="102">
        <v>670.74</v>
      </c>
      <c r="X28" s="109">
        <v>44355</v>
      </c>
      <c r="Y28" s="103">
        <v>768.7</v>
      </c>
      <c r="Z28" s="41">
        <v>44401</v>
      </c>
      <c r="AA28" s="103">
        <v>738.8</v>
      </c>
      <c r="AB28" s="41">
        <v>44429</v>
      </c>
      <c r="AC28" s="103">
        <v>800.05</v>
      </c>
      <c r="AD28" s="41">
        <v>44458</v>
      </c>
      <c r="AE28" s="103">
        <v>791.77</v>
      </c>
      <c r="AF28" s="41">
        <v>44488</v>
      </c>
      <c r="AG28" s="103">
        <v>719.52</v>
      </c>
      <c r="AH28" s="104">
        <v>44518</v>
      </c>
      <c r="AI28" s="103">
        <v>1004.39</v>
      </c>
      <c r="AJ28" s="104">
        <v>44546</v>
      </c>
      <c r="AK28" s="103">
        <v>506.74</v>
      </c>
    </row>
    <row r="29" spans="1:37" s="1" customFormat="1" x14ac:dyDescent="0.25">
      <c r="A29" s="25">
        <v>17</v>
      </c>
      <c r="B29" s="2" t="s">
        <v>177</v>
      </c>
      <c r="C29" s="2" t="s">
        <v>178</v>
      </c>
      <c r="D29" s="3" t="s">
        <v>181</v>
      </c>
      <c r="E29" s="3" t="s">
        <v>181</v>
      </c>
      <c r="F29" s="3" t="s">
        <v>181</v>
      </c>
      <c r="G29" s="2" t="s">
        <v>181</v>
      </c>
      <c r="H29" s="2" t="s">
        <v>181</v>
      </c>
      <c r="I29" s="4" t="s">
        <v>139</v>
      </c>
      <c r="J29" s="4" t="s">
        <v>170</v>
      </c>
      <c r="K29" s="4" t="s">
        <v>197</v>
      </c>
      <c r="L29" s="2" t="s">
        <v>78</v>
      </c>
      <c r="M29" s="2"/>
      <c r="N29" s="107">
        <v>44215</v>
      </c>
      <c r="O29" s="103">
        <v>96.36</v>
      </c>
      <c r="P29" s="107">
        <v>44230</v>
      </c>
      <c r="Q29" s="103">
        <v>90</v>
      </c>
      <c r="R29" s="107">
        <v>44272</v>
      </c>
      <c r="S29" s="103">
        <v>103.16</v>
      </c>
      <c r="T29" s="104">
        <v>44304</v>
      </c>
      <c r="U29" s="102">
        <v>93.33</v>
      </c>
      <c r="V29" s="109">
        <v>44334</v>
      </c>
      <c r="W29" s="102">
        <v>108.44</v>
      </c>
      <c r="X29" s="109">
        <v>44355</v>
      </c>
      <c r="Y29" s="103">
        <v>109.6</v>
      </c>
      <c r="Z29" s="41">
        <v>44401</v>
      </c>
      <c r="AA29" s="103">
        <v>119.37</v>
      </c>
      <c r="AB29" s="41">
        <v>44429</v>
      </c>
      <c r="AC29" s="103">
        <v>124.47</v>
      </c>
      <c r="AD29" s="41">
        <v>44458</v>
      </c>
      <c r="AE29" s="103">
        <v>90.41</v>
      </c>
      <c r="AF29" s="41">
        <v>44488</v>
      </c>
      <c r="AG29" s="103">
        <v>177.87</v>
      </c>
      <c r="AH29" s="104">
        <v>44519</v>
      </c>
      <c r="AI29" s="103">
        <v>104.49</v>
      </c>
      <c r="AJ29" s="104">
        <v>44901</v>
      </c>
      <c r="AK29" s="103">
        <v>108.65</v>
      </c>
    </row>
    <row r="30" spans="1:37" s="1" customFormat="1" x14ac:dyDescent="0.25">
      <c r="A30" s="119">
        <v>18</v>
      </c>
      <c r="B30" s="2" t="s">
        <v>167</v>
      </c>
      <c r="C30" s="2" t="s">
        <v>182</v>
      </c>
      <c r="D30" s="3" t="s">
        <v>181</v>
      </c>
      <c r="E30" s="3" t="s">
        <v>181</v>
      </c>
      <c r="F30" s="3" t="s">
        <v>181</v>
      </c>
      <c r="G30" s="2" t="s">
        <v>181</v>
      </c>
      <c r="H30" s="2" t="s">
        <v>181</v>
      </c>
      <c r="I30" s="4" t="s">
        <v>139</v>
      </c>
      <c r="J30" s="4" t="s">
        <v>170</v>
      </c>
      <c r="K30" s="4" t="s">
        <v>196</v>
      </c>
      <c r="L30" s="2" t="s">
        <v>78</v>
      </c>
      <c r="M30" s="2"/>
      <c r="N30" s="107">
        <v>44207</v>
      </c>
      <c r="O30" s="103">
        <v>1468.9</v>
      </c>
      <c r="P30" s="107">
        <v>44229</v>
      </c>
      <c r="Q30" s="103">
        <v>1371.8</v>
      </c>
      <c r="R30" s="107">
        <v>44260</v>
      </c>
      <c r="S30" s="103">
        <v>1448.53</v>
      </c>
      <c r="T30" s="104">
        <v>44300</v>
      </c>
      <c r="U30" s="102">
        <v>1448.53</v>
      </c>
      <c r="V30" s="109">
        <v>44326</v>
      </c>
      <c r="W30" s="102">
        <v>1448.53</v>
      </c>
      <c r="X30" s="104">
        <v>44349</v>
      </c>
      <c r="Y30" s="102">
        <v>1448.53</v>
      </c>
      <c r="Z30" s="107">
        <v>44385</v>
      </c>
      <c r="AA30" s="103">
        <v>1442.83</v>
      </c>
      <c r="AB30" s="107">
        <v>44419</v>
      </c>
      <c r="AC30" s="102">
        <v>1676.31</v>
      </c>
      <c r="AD30" s="41">
        <v>44447</v>
      </c>
      <c r="AE30" s="102">
        <v>1676.31</v>
      </c>
      <c r="AF30" s="41">
        <v>44474</v>
      </c>
      <c r="AG30" s="103">
        <v>1774.57</v>
      </c>
      <c r="AH30" s="104">
        <v>44503</v>
      </c>
      <c r="AI30" s="103">
        <v>1612.32</v>
      </c>
      <c r="AJ30" s="104">
        <v>44532</v>
      </c>
      <c r="AK30" s="103">
        <v>1697.5</v>
      </c>
    </row>
    <row r="31" spans="1:37" s="1" customFormat="1" x14ac:dyDescent="0.25">
      <c r="A31" s="25">
        <v>19</v>
      </c>
      <c r="B31" s="2" t="s">
        <v>234</v>
      </c>
      <c r="C31" s="2" t="s">
        <v>200</v>
      </c>
      <c r="D31" s="3" t="s">
        <v>181</v>
      </c>
      <c r="E31" s="3" t="s">
        <v>181</v>
      </c>
      <c r="F31" s="3" t="s">
        <v>181</v>
      </c>
      <c r="G31" s="2" t="s">
        <v>181</v>
      </c>
      <c r="H31" s="2" t="s">
        <v>181</v>
      </c>
      <c r="I31" s="4">
        <v>99.9</v>
      </c>
      <c r="J31" s="4" t="s">
        <v>170</v>
      </c>
      <c r="K31" s="4" t="s">
        <v>208</v>
      </c>
      <c r="L31" s="2" t="s">
        <v>78</v>
      </c>
      <c r="M31" s="2"/>
      <c r="N31" s="107">
        <v>44200</v>
      </c>
      <c r="O31" s="103">
        <v>105.48</v>
      </c>
      <c r="P31" s="107">
        <v>44229</v>
      </c>
      <c r="Q31" s="103">
        <v>105.48</v>
      </c>
      <c r="R31" s="107">
        <v>44260</v>
      </c>
      <c r="S31" s="103">
        <v>105.48</v>
      </c>
      <c r="T31" s="107">
        <v>44287</v>
      </c>
      <c r="U31" s="103">
        <v>105.48</v>
      </c>
      <c r="V31" s="107">
        <v>44320</v>
      </c>
      <c r="W31" s="102">
        <v>105.48</v>
      </c>
      <c r="X31" s="104">
        <v>44349</v>
      </c>
      <c r="Y31" s="102">
        <v>105.48</v>
      </c>
      <c r="Z31" s="107">
        <v>44379</v>
      </c>
      <c r="AA31" s="102">
        <v>105.48</v>
      </c>
      <c r="AB31" s="107">
        <v>44410</v>
      </c>
      <c r="AC31" s="102">
        <v>105.48</v>
      </c>
      <c r="AD31" s="41">
        <v>44441</v>
      </c>
      <c r="AE31" s="103">
        <v>116.59</v>
      </c>
      <c r="AF31" s="41">
        <v>44473</v>
      </c>
      <c r="AG31" s="103">
        <v>116.59</v>
      </c>
      <c r="AH31" s="104">
        <v>44503</v>
      </c>
      <c r="AI31" s="103">
        <v>116.59</v>
      </c>
      <c r="AJ31" s="104">
        <v>44533</v>
      </c>
      <c r="AK31" s="103">
        <v>116.59</v>
      </c>
    </row>
    <row r="32" spans="1:37" s="1" customFormat="1" x14ac:dyDescent="0.25">
      <c r="A32" s="119">
        <v>20</v>
      </c>
      <c r="B32" s="2" t="s">
        <v>281</v>
      </c>
      <c r="C32" s="2" t="s">
        <v>280</v>
      </c>
      <c r="D32" s="3" t="s">
        <v>181</v>
      </c>
      <c r="E32" s="3" t="s">
        <v>181</v>
      </c>
      <c r="F32" s="3" t="s">
        <v>181</v>
      </c>
      <c r="G32" s="2" t="s">
        <v>181</v>
      </c>
      <c r="H32" s="2" t="s">
        <v>181</v>
      </c>
      <c r="I32" s="4">
        <v>119.9</v>
      </c>
      <c r="J32" s="4" t="s">
        <v>170</v>
      </c>
      <c r="K32" s="4" t="s">
        <v>208</v>
      </c>
      <c r="L32" s="2" t="s">
        <v>78</v>
      </c>
      <c r="M32" s="2"/>
      <c r="N32" s="107">
        <v>44200</v>
      </c>
      <c r="O32" s="103">
        <v>126.9</v>
      </c>
      <c r="P32" s="107">
        <v>44229</v>
      </c>
      <c r="Q32" s="103">
        <v>126.9</v>
      </c>
      <c r="R32" s="107">
        <v>44260</v>
      </c>
      <c r="S32" s="103">
        <v>126.9</v>
      </c>
      <c r="T32" s="107">
        <v>44287</v>
      </c>
      <c r="U32" s="103">
        <v>126.9</v>
      </c>
      <c r="V32" s="107">
        <v>44320</v>
      </c>
      <c r="W32" s="102">
        <v>126.9</v>
      </c>
      <c r="X32" s="104">
        <v>44349</v>
      </c>
      <c r="Y32" s="102">
        <v>126.9</v>
      </c>
      <c r="Z32" s="107">
        <v>44379</v>
      </c>
      <c r="AA32" s="102">
        <v>126.9</v>
      </c>
      <c r="AB32" s="107">
        <v>44410</v>
      </c>
      <c r="AC32" s="102">
        <v>126.9</v>
      </c>
      <c r="AD32" s="41">
        <v>44441</v>
      </c>
      <c r="AE32" s="103">
        <v>140.79</v>
      </c>
      <c r="AF32" s="41">
        <v>44473</v>
      </c>
      <c r="AG32" s="103">
        <v>140.79</v>
      </c>
      <c r="AH32" s="104">
        <v>44503</v>
      </c>
      <c r="AI32" s="103">
        <v>140.79</v>
      </c>
      <c r="AJ32" s="104">
        <v>44533</v>
      </c>
      <c r="AK32" s="103">
        <v>140.79</v>
      </c>
    </row>
    <row r="33" spans="1:37" s="1" customFormat="1" x14ac:dyDescent="0.25">
      <c r="A33" s="25">
        <v>21</v>
      </c>
      <c r="B33" s="2" t="s">
        <v>282</v>
      </c>
      <c r="C33" s="2" t="s">
        <v>279</v>
      </c>
      <c r="D33" s="3"/>
      <c r="E33" s="3"/>
      <c r="F33" s="3"/>
      <c r="G33" s="23"/>
      <c r="H33" s="23"/>
      <c r="I33" s="4">
        <v>119.9</v>
      </c>
      <c r="J33" s="4" t="s">
        <v>170</v>
      </c>
      <c r="K33" s="4" t="s">
        <v>208</v>
      </c>
      <c r="L33" s="2" t="s">
        <v>78</v>
      </c>
      <c r="M33" s="2"/>
      <c r="N33" s="48" t="s">
        <v>181</v>
      </c>
      <c r="O33" s="48" t="s">
        <v>181</v>
      </c>
      <c r="P33" s="48" t="s">
        <v>181</v>
      </c>
      <c r="Q33" s="48" t="s">
        <v>181</v>
      </c>
      <c r="R33" s="48" t="s">
        <v>181</v>
      </c>
      <c r="S33" s="48" t="s">
        <v>181</v>
      </c>
      <c r="T33" s="104" t="s">
        <v>181</v>
      </c>
      <c r="U33" s="108" t="s">
        <v>181</v>
      </c>
      <c r="V33" s="109" t="s">
        <v>181</v>
      </c>
      <c r="W33" s="108" t="s">
        <v>181</v>
      </c>
      <c r="X33" s="109" t="s">
        <v>181</v>
      </c>
      <c r="Y33" s="103" t="s">
        <v>181</v>
      </c>
      <c r="Z33" s="41">
        <v>44400</v>
      </c>
      <c r="AA33" s="103">
        <v>47.96</v>
      </c>
      <c r="AB33" s="107">
        <v>44462</v>
      </c>
      <c r="AC33" s="103">
        <v>119.95</v>
      </c>
      <c r="AD33" s="41">
        <v>44462</v>
      </c>
      <c r="AE33" s="103">
        <v>119.95</v>
      </c>
      <c r="AF33" s="41">
        <v>44482</v>
      </c>
      <c r="AG33" s="103">
        <v>119.95</v>
      </c>
      <c r="AH33" s="104">
        <v>44524</v>
      </c>
      <c r="AI33" s="103">
        <v>119.95</v>
      </c>
      <c r="AJ33" s="104">
        <v>44557</v>
      </c>
      <c r="AK33" s="103">
        <v>119.95</v>
      </c>
    </row>
    <row r="34" spans="1:37" s="1" customFormat="1" ht="15" hidden="1" customHeight="1" x14ac:dyDescent="0.25">
      <c r="A34" s="2"/>
      <c r="B34" s="2" t="s">
        <v>166</v>
      </c>
      <c r="C34" s="2" t="s">
        <v>88</v>
      </c>
      <c r="D34" s="3" t="s">
        <v>181</v>
      </c>
      <c r="E34" s="26" t="s">
        <v>181</v>
      </c>
      <c r="F34" s="3" t="s">
        <v>6</v>
      </c>
      <c r="G34" s="23" t="s">
        <v>89</v>
      </c>
      <c r="H34" s="23"/>
      <c r="I34" s="4">
        <v>297.77</v>
      </c>
      <c r="J34" s="4" t="s">
        <v>170</v>
      </c>
      <c r="K34" s="4" t="s">
        <v>181</v>
      </c>
      <c r="L34" s="2" t="s">
        <v>149</v>
      </c>
      <c r="M34" s="2"/>
      <c r="N34" s="3" t="s">
        <v>181</v>
      </c>
      <c r="O34" s="2" t="s">
        <v>181</v>
      </c>
      <c r="P34" s="3" t="s">
        <v>181</v>
      </c>
      <c r="Q34" s="2" t="s">
        <v>181</v>
      </c>
      <c r="R34" s="2" t="s">
        <v>181</v>
      </c>
      <c r="S34" s="2" t="s">
        <v>181</v>
      </c>
      <c r="T34" s="4" t="s">
        <v>181</v>
      </c>
      <c r="U34" s="3" t="s">
        <v>181</v>
      </c>
      <c r="V34" s="4" t="s">
        <v>181</v>
      </c>
      <c r="W34" s="3" t="s">
        <v>181</v>
      </c>
      <c r="X34" s="109" t="s">
        <v>181</v>
      </c>
      <c r="Y34" s="3" t="s">
        <v>181</v>
      </c>
      <c r="Z34" s="109" t="s">
        <v>181</v>
      </c>
      <c r="AA34" s="3" t="s">
        <v>181</v>
      </c>
      <c r="AB34" s="109" t="s">
        <v>181</v>
      </c>
      <c r="AC34" s="3" t="s">
        <v>181</v>
      </c>
      <c r="AD34" s="109" t="s">
        <v>181</v>
      </c>
      <c r="AE34" s="2" t="s">
        <v>181</v>
      </c>
      <c r="AF34" s="109" t="s">
        <v>181</v>
      </c>
      <c r="AG34" s="2" t="s">
        <v>181</v>
      </c>
      <c r="AH34" s="99" t="s">
        <v>181</v>
      </c>
      <c r="AI34" s="2" t="s">
        <v>181</v>
      </c>
      <c r="AJ34" s="99" t="s">
        <v>181</v>
      </c>
      <c r="AK34" s="2" t="s">
        <v>181</v>
      </c>
    </row>
    <row r="35" spans="1:37" s="1" customFormat="1" ht="15" hidden="1" customHeight="1" x14ac:dyDescent="0.25">
      <c r="A35" s="2"/>
      <c r="B35" s="2" t="s">
        <v>91</v>
      </c>
      <c r="C35" s="2" t="s">
        <v>92</v>
      </c>
      <c r="D35" s="3" t="s">
        <v>181</v>
      </c>
      <c r="E35" s="26" t="s">
        <v>181</v>
      </c>
      <c r="F35" s="3" t="s">
        <v>6</v>
      </c>
      <c r="G35" s="2" t="s">
        <v>89</v>
      </c>
      <c r="H35" s="2"/>
      <c r="I35" s="4">
        <v>722.62</v>
      </c>
      <c r="J35" s="4" t="s">
        <v>165</v>
      </c>
      <c r="K35" s="4" t="s">
        <v>181</v>
      </c>
      <c r="L35" s="2" t="s">
        <v>269</v>
      </c>
      <c r="M35" s="2"/>
      <c r="N35" s="3" t="s">
        <v>181</v>
      </c>
      <c r="O35" s="2" t="s">
        <v>181</v>
      </c>
      <c r="P35" s="3" t="s">
        <v>181</v>
      </c>
      <c r="Q35" s="2" t="s">
        <v>181</v>
      </c>
      <c r="R35" s="2" t="s">
        <v>181</v>
      </c>
      <c r="S35" s="2" t="s">
        <v>181</v>
      </c>
      <c r="T35" s="2" t="s">
        <v>181</v>
      </c>
      <c r="U35" s="2" t="s">
        <v>181</v>
      </c>
      <c r="V35" s="3">
        <v>43960</v>
      </c>
      <c r="W35" s="4">
        <v>650.35</v>
      </c>
      <c r="X35" s="109" t="s">
        <v>181</v>
      </c>
      <c r="Y35" s="2" t="s">
        <v>181</v>
      </c>
      <c r="Z35" s="109" t="s">
        <v>181</v>
      </c>
      <c r="AA35" s="4" t="s">
        <v>181</v>
      </c>
      <c r="AB35" s="109" t="s">
        <v>181</v>
      </c>
      <c r="AC35" s="4" t="s">
        <v>181</v>
      </c>
      <c r="AD35" s="109" t="s">
        <v>181</v>
      </c>
      <c r="AE35" s="2" t="s">
        <v>181</v>
      </c>
      <c r="AF35" s="109" t="s">
        <v>181</v>
      </c>
      <c r="AG35" s="2" t="s">
        <v>181</v>
      </c>
      <c r="AH35" s="99" t="s">
        <v>181</v>
      </c>
      <c r="AI35" s="2" t="s">
        <v>181</v>
      </c>
      <c r="AJ35" s="99" t="s">
        <v>181</v>
      </c>
      <c r="AK35" s="2" t="s">
        <v>181</v>
      </c>
    </row>
    <row r="36" spans="1:37" s="1" customFormat="1" ht="30" hidden="1" x14ac:dyDescent="0.25">
      <c r="A36" s="2"/>
      <c r="B36" s="2" t="s">
        <v>18</v>
      </c>
      <c r="C36" s="2" t="s">
        <v>4</v>
      </c>
      <c r="D36" s="3">
        <v>41609</v>
      </c>
      <c r="E36" s="3"/>
      <c r="F36" s="3" t="s">
        <v>6</v>
      </c>
      <c r="G36" s="2" t="s">
        <v>12</v>
      </c>
      <c r="H36" s="2" t="s">
        <v>7</v>
      </c>
      <c r="I36" s="4">
        <v>1952.22</v>
      </c>
      <c r="J36" s="4"/>
      <c r="K36" s="4"/>
      <c r="L36" s="2" t="s">
        <v>20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4"/>
      <c r="AB36" s="2"/>
      <c r="AC36" s="4"/>
      <c r="AD36" s="2"/>
      <c r="AE36" s="2"/>
      <c r="AF36" s="2"/>
      <c r="AG36" s="2"/>
      <c r="AH36" s="2"/>
      <c r="AI36" s="2"/>
      <c r="AJ36" s="2"/>
      <c r="AK36" s="2"/>
    </row>
    <row r="37" spans="1:37" s="1" customFormat="1" hidden="1" x14ac:dyDescent="0.25">
      <c r="A37" s="2"/>
      <c r="B37" s="2" t="s">
        <v>17</v>
      </c>
      <c r="C37" s="2" t="s">
        <v>11</v>
      </c>
      <c r="D37" s="3">
        <v>41800</v>
      </c>
      <c r="E37" s="3">
        <v>43231</v>
      </c>
      <c r="F37" s="3" t="s">
        <v>13</v>
      </c>
      <c r="G37" s="25" t="s">
        <v>89</v>
      </c>
      <c r="H37" s="2" t="s">
        <v>15</v>
      </c>
      <c r="I37" s="4">
        <v>1240</v>
      </c>
      <c r="J37" s="27" t="s">
        <v>140</v>
      </c>
      <c r="K37" s="27" t="s">
        <v>187</v>
      </c>
      <c r="L37" s="2" t="s">
        <v>155</v>
      </c>
      <c r="M37" s="2"/>
      <c r="N37" s="3" t="s">
        <v>181</v>
      </c>
      <c r="O37" s="2" t="s">
        <v>181</v>
      </c>
      <c r="P37" s="3" t="s">
        <v>181</v>
      </c>
      <c r="Q37" s="2" t="s">
        <v>181</v>
      </c>
      <c r="R37" s="2" t="s">
        <v>181</v>
      </c>
      <c r="S37" s="2" t="s">
        <v>181</v>
      </c>
      <c r="T37" s="2"/>
      <c r="U37" s="2"/>
      <c r="V37" s="2"/>
      <c r="W37" s="2"/>
      <c r="X37" s="2"/>
      <c r="Y37" s="2"/>
      <c r="Z37" s="3" t="s">
        <v>181</v>
      </c>
      <c r="AA37" s="4" t="s">
        <v>181</v>
      </c>
      <c r="AB37" s="3" t="s">
        <v>181</v>
      </c>
      <c r="AC37" s="4" t="s">
        <v>181</v>
      </c>
      <c r="AD37" s="2"/>
      <c r="AE37" s="2"/>
      <c r="AF37" s="99"/>
      <c r="AG37" s="2"/>
      <c r="AH37" s="99"/>
      <c r="AI37" s="2"/>
      <c r="AJ37" s="99"/>
      <c r="AK37" s="2"/>
    </row>
    <row r="38" spans="1:37" s="1" customFormat="1" hidden="1" x14ac:dyDescent="0.25">
      <c r="A38" s="2"/>
      <c r="B38" s="2" t="s">
        <v>16</v>
      </c>
      <c r="C38" s="2" t="s">
        <v>21</v>
      </c>
      <c r="D38" s="3">
        <v>38936</v>
      </c>
      <c r="E38" s="3"/>
      <c r="F38" s="3" t="s">
        <v>13</v>
      </c>
      <c r="G38" s="2" t="s">
        <v>12</v>
      </c>
      <c r="H38" s="2" t="s">
        <v>7</v>
      </c>
      <c r="I38" s="4">
        <v>228</v>
      </c>
      <c r="J38" s="4"/>
      <c r="K38" s="4"/>
      <c r="L38" s="2" t="s">
        <v>100</v>
      </c>
      <c r="M38" s="2"/>
      <c r="N38" s="3"/>
      <c r="O38" s="2"/>
      <c r="P38" s="3"/>
      <c r="Q38" s="2"/>
      <c r="R38" s="2"/>
      <c r="S38" s="2"/>
      <c r="T38" s="2"/>
      <c r="U38" s="2"/>
      <c r="V38" s="2"/>
      <c r="W38" s="2"/>
      <c r="X38" s="2"/>
      <c r="Y38" s="2"/>
      <c r="Z38" s="2"/>
      <c r="AA38" s="4"/>
      <c r="AB38" s="3"/>
      <c r="AC38" s="4"/>
      <c r="AD38" s="2"/>
      <c r="AE38" s="2"/>
      <c r="AF38" s="99"/>
      <c r="AG38" s="2"/>
      <c r="AH38" s="99"/>
      <c r="AI38" s="2"/>
      <c r="AJ38" s="99"/>
      <c r="AK38" s="2"/>
    </row>
    <row r="39" spans="1:37" s="1" customFormat="1" hidden="1" x14ac:dyDescent="0.25">
      <c r="A39" s="2"/>
      <c r="B39" s="2" t="s">
        <v>22</v>
      </c>
      <c r="C39" s="2" t="s">
        <v>23</v>
      </c>
      <c r="D39" s="3">
        <v>2013</v>
      </c>
      <c r="E39" s="3"/>
      <c r="F39" s="3" t="s">
        <v>6</v>
      </c>
      <c r="G39" s="2" t="s">
        <v>6</v>
      </c>
      <c r="H39" s="2" t="s">
        <v>7</v>
      </c>
      <c r="I39" s="4">
        <v>200</v>
      </c>
      <c r="J39" s="4"/>
      <c r="K39" s="4"/>
      <c r="L39" s="2" t="s">
        <v>20</v>
      </c>
      <c r="M39" s="2"/>
      <c r="N39" s="3"/>
      <c r="O39" s="2"/>
      <c r="P39" s="3"/>
      <c r="Q39" s="2"/>
      <c r="R39" s="2"/>
      <c r="S39" s="2"/>
      <c r="T39" s="2"/>
      <c r="U39" s="2"/>
      <c r="V39" s="2"/>
      <c r="W39" s="2"/>
      <c r="X39" s="2"/>
      <c r="Y39" s="2"/>
      <c r="Z39" s="2"/>
      <c r="AA39" s="4"/>
      <c r="AB39" s="3"/>
      <c r="AC39" s="4"/>
      <c r="AD39" s="2"/>
      <c r="AE39" s="2"/>
      <c r="AF39" s="99"/>
      <c r="AG39" s="2"/>
      <c r="AH39" s="99"/>
      <c r="AI39" s="2"/>
      <c r="AJ39" s="99"/>
      <c r="AK39" s="2"/>
    </row>
    <row r="40" spans="1:37" s="1" customFormat="1" hidden="1" x14ac:dyDescent="0.25">
      <c r="A40" s="2"/>
      <c r="B40" s="2" t="s">
        <v>160</v>
      </c>
      <c r="C40" s="2" t="s">
        <v>161</v>
      </c>
      <c r="D40" s="3" t="s">
        <v>181</v>
      </c>
      <c r="E40" s="3" t="s">
        <v>181</v>
      </c>
      <c r="F40" s="3" t="s">
        <v>181</v>
      </c>
      <c r="G40" s="2" t="s">
        <v>181</v>
      </c>
      <c r="H40" s="2" t="s">
        <v>149</v>
      </c>
      <c r="I40" s="4" t="s">
        <v>139</v>
      </c>
      <c r="J40" s="4" t="s">
        <v>170</v>
      </c>
      <c r="K40" s="4" t="s">
        <v>196</v>
      </c>
      <c r="L40" s="2" t="s">
        <v>78</v>
      </c>
      <c r="M40" s="2"/>
      <c r="N40" s="107">
        <v>44208</v>
      </c>
      <c r="O40" s="103">
        <v>147</v>
      </c>
      <c r="P40" s="107">
        <v>44229</v>
      </c>
      <c r="Q40" s="103">
        <v>84</v>
      </c>
      <c r="R40" s="107" t="s">
        <v>181</v>
      </c>
      <c r="S40" s="103" t="s">
        <v>181</v>
      </c>
      <c r="T40" s="104" t="s">
        <v>181</v>
      </c>
      <c r="U40" s="102" t="s">
        <v>181</v>
      </c>
      <c r="V40" s="107" t="s">
        <v>181</v>
      </c>
      <c r="W40" s="102" t="s">
        <v>181</v>
      </c>
      <c r="X40" s="104" t="s">
        <v>181</v>
      </c>
      <c r="Y40" s="102" t="s">
        <v>181</v>
      </c>
      <c r="Z40" s="107" t="s">
        <v>181</v>
      </c>
      <c r="AA40" s="103" t="s">
        <v>181</v>
      </c>
      <c r="AB40" s="107" t="s">
        <v>181</v>
      </c>
      <c r="AC40" s="102" t="s">
        <v>181</v>
      </c>
      <c r="AD40" s="104" t="s">
        <v>181</v>
      </c>
      <c r="AE40" s="102" t="s">
        <v>181</v>
      </c>
      <c r="AF40" s="104" t="s">
        <v>181</v>
      </c>
      <c r="AG40" s="103" t="s">
        <v>181</v>
      </c>
      <c r="AH40" s="104" t="s">
        <v>181</v>
      </c>
      <c r="AI40" s="103" t="s">
        <v>181</v>
      </c>
      <c r="AJ40" s="104" t="s">
        <v>181</v>
      </c>
      <c r="AK40" s="103" t="s">
        <v>181</v>
      </c>
    </row>
    <row r="41" spans="1:37" s="1" customFormat="1" hidden="1" x14ac:dyDescent="0.25">
      <c r="A41" s="2"/>
      <c r="B41" s="2" t="s">
        <v>168</v>
      </c>
      <c r="C41" s="2" t="s">
        <v>169</v>
      </c>
      <c r="D41" s="3" t="s">
        <v>181</v>
      </c>
      <c r="E41" s="3" t="s">
        <v>181</v>
      </c>
      <c r="F41" s="3" t="s">
        <v>181</v>
      </c>
      <c r="G41" s="2" t="s">
        <v>181</v>
      </c>
      <c r="H41" s="2" t="s">
        <v>181</v>
      </c>
      <c r="I41" s="4" t="s">
        <v>139</v>
      </c>
      <c r="J41" s="4" t="s">
        <v>170</v>
      </c>
      <c r="K41" s="4" t="s">
        <v>149</v>
      </c>
      <c r="L41" s="2"/>
      <c r="M41" s="2"/>
      <c r="N41" s="54" t="s">
        <v>181</v>
      </c>
      <c r="O41" s="4" t="s">
        <v>181</v>
      </c>
      <c r="P41" s="54" t="s">
        <v>181</v>
      </c>
      <c r="Q41" s="4" t="s">
        <v>181</v>
      </c>
      <c r="R41" s="54" t="s">
        <v>181</v>
      </c>
      <c r="S41" s="4" t="s">
        <v>181</v>
      </c>
      <c r="T41" s="54" t="s">
        <v>181</v>
      </c>
      <c r="U41" s="67" t="s">
        <v>181</v>
      </c>
      <c r="V41" s="54" t="s">
        <v>181</v>
      </c>
      <c r="W41" s="4" t="s">
        <v>181</v>
      </c>
      <c r="X41" s="99" t="s">
        <v>181</v>
      </c>
      <c r="Y41" s="4" t="s">
        <v>181</v>
      </c>
      <c r="Z41" s="54" t="s">
        <v>181</v>
      </c>
      <c r="AA41" s="47" t="s">
        <v>181</v>
      </c>
      <c r="AB41" s="54" t="s">
        <v>181</v>
      </c>
      <c r="AC41" s="47" t="s">
        <v>181</v>
      </c>
      <c r="AD41" s="54" t="s">
        <v>181</v>
      </c>
      <c r="AE41" s="4" t="s">
        <v>181</v>
      </c>
      <c r="AF41" s="99" t="s">
        <v>181</v>
      </c>
      <c r="AG41" s="4"/>
      <c r="AH41" s="99"/>
      <c r="AI41" s="4"/>
      <c r="AJ41" s="99"/>
      <c r="AK41" s="4"/>
    </row>
    <row r="42" spans="1:37" s="1" customFormat="1" hidden="1" x14ac:dyDescent="0.25">
      <c r="A42" s="25"/>
      <c r="B42" s="25" t="s">
        <v>26</v>
      </c>
      <c r="C42" s="25" t="s">
        <v>27</v>
      </c>
      <c r="D42" s="27">
        <v>42675</v>
      </c>
      <c r="E42" s="27"/>
      <c r="F42" s="27" t="s">
        <v>28</v>
      </c>
      <c r="G42" s="25" t="s">
        <v>6</v>
      </c>
      <c r="H42" s="42" t="s">
        <v>29</v>
      </c>
      <c r="I42" s="42" t="s">
        <v>149</v>
      </c>
      <c r="J42" s="42" t="s">
        <v>149</v>
      </c>
      <c r="K42" s="42"/>
      <c r="L42" s="42" t="s">
        <v>149</v>
      </c>
      <c r="M42" s="42" t="s">
        <v>149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40"/>
      <c r="AB42" s="3"/>
      <c r="AC42" s="40"/>
      <c r="AD42" s="2"/>
      <c r="AE42" s="2"/>
      <c r="AF42" s="99"/>
      <c r="AG42" s="2"/>
      <c r="AH42" s="99"/>
      <c r="AI42" s="2"/>
      <c r="AJ42" s="99"/>
      <c r="AK42" s="2"/>
    </row>
    <row r="43" spans="1:37" s="1" customFormat="1" ht="15" hidden="1" customHeight="1" x14ac:dyDescent="0.25">
      <c r="A43" s="2"/>
      <c r="B43" s="2" t="s">
        <v>163</v>
      </c>
      <c r="C43" s="2" t="s">
        <v>162</v>
      </c>
      <c r="D43" s="3" t="s">
        <v>181</v>
      </c>
      <c r="E43" s="3" t="s">
        <v>181</v>
      </c>
      <c r="F43" s="3" t="s">
        <v>181</v>
      </c>
      <c r="G43" s="2" t="s">
        <v>181</v>
      </c>
      <c r="H43" s="2" t="s">
        <v>181</v>
      </c>
      <c r="I43" s="4" t="s">
        <v>139</v>
      </c>
      <c r="J43" s="4" t="s">
        <v>170</v>
      </c>
      <c r="K43" s="4" t="s">
        <v>149</v>
      </c>
      <c r="L43" s="2"/>
      <c r="M43" s="2"/>
      <c r="N43" s="54" t="s">
        <v>181</v>
      </c>
      <c r="O43" s="4" t="s">
        <v>181</v>
      </c>
      <c r="P43" s="54" t="s">
        <v>181</v>
      </c>
      <c r="Q43" s="4" t="s">
        <v>181</v>
      </c>
      <c r="R43" s="54" t="s">
        <v>181</v>
      </c>
      <c r="S43" s="4" t="s">
        <v>181</v>
      </c>
      <c r="T43" s="98" t="s">
        <v>181</v>
      </c>
      <c r="U43" s="67" t="s">
        <v>181</v>
      </c>
      <c r="V43" s="54" t="s">
        <v>181</v>
      </c>
      <c r="W43" s="98" t="s">
        <v>181</v>
      </c>
      <c r="X43" s="99" t="s">
        <v>181</v>
      </c>
      <c r="Y43" s="98" t="s">
        <v>181</v>
      </c>
      <c r="Z43" s="54" t="s">
        <v>181</v>
      </c>
      <c r="AA43" s="54" t="s">
        <v>181</v>
      </c>
      <c r="AB43" s="54" t="s">
        <v>181</v>
      </c>
      <c r="AC43" s="98" t="s">
        <v>181</v>
      </c>
      <c r="AD43" s="99" t="s">
        <v>181</v>
      </c>
      <c r="AE43" s="98" t="s">
        <v>181</v>
      </c>
      <c r="AF43" s="99"/>
      <c r="AG43" s="4"/>
      <c r="AH43" s="99"/>
      <c r="AI43" s="4"/>
      <c r="AJ43" s="99"/>
      <c r="AK43" s="4"/>
    </row>
    <row r="44" spans="1:37" s="1" customFormat="1" hidden="1" x14ac:dyDescent="0.25">
      <c r="A44" s="2"/>
      <c r="B44" s="2" t="s">
        <v>35</v>
      </c>
      <c r="C44" s="2" t="s">
        <v>36</v>
      </c>
      <c r="D44" s="3">
        <v>41620</v>
      </c>
      <c r="E44" s="3"/>
      <c r="F44" s="3" t="s">
        <v>6</v>
      </c>
      <c r="G44" s="2" t="s">
        <v>6</v>
      </c>
      <c r="H44" s="2" t="s">
        <v>7</v>
      </c>
      <c r="I44" s="4">
        <v>134.9</v>
      </c>
      <c r="J44" s="4"/>
      <c r="K44" s="4"/>
      <c r="L44" s="2" t="s">
        <v>20</v>
      </c>
      <c r="M44" s="2"/>
      <c r="N44" s="3"/>
      <c r="O44" s="2"/>
      <c r="P44" s="3"/>
      <c r="Q44" s="2"/>
      <c r="R44" s="2"/>
      <c r="S44" s="2"/>
      <c r="T44" s="2"/>
      <c r="U44" s="2"/>
      <c r="V44" s="2"/>
      <c r="W44" s="2"/>
      <c r="X44" s="2"/>
      <c r="Y44" s="2"/>
      <c r="Z44" s="2"/>
      <c r="AA44" s="4"/>
      <c r="AB44" s="3"/>
      <c r="AC44" s="4"/>
      <c r="AD44" s="2"/>
      <c r="AE44" s="2"/>
      <c r="AF44" s="99"/>
      <c r="AG44" s="2"/>
      <c r="AH44" s="99"/>
      <c r="AI44" s="2"/>
      <c r="AJ44" s="99"/>
      <c r="AK44" s="2"/>
    </row>
    <row r="45" spans="1:37" s="1" customFormat="1" hidden="1" x14ac:dyDescent="0.25">
      <c r="A45" s="2"/>
      <c r="B45" s="2" t="s">
        <v>35</v>
      </c>
      <c r="C45" s="2" t="s">
        <v>40</v>
      </c>
      <c r="D45" s="3">
        <v>41620</v>
      </c>
      <c r="E45" s="3"/>
      <c r="F45" s="3" t="s">
        <v>6</v>
      </c>
      <c r="G45" s="2" t="s">
        <v>6</v>
      </c>
      <c r="H45" s="2" t="s">
        <v>15</v>
      </c>
      <c r="I45" s="4" t="s">
        <v>41</v>
      </c>
      <c r="J45" s="4"/>
      <c r="K45" s="4"/>
      <c r="L45" s="2" t="s">
        <v>20</v>
      </c>
      <c r="M45" s="2"/>
      <c r="N45" s="3"/>
      <c r="O45" s="2"/>
      <c r="P45" s="3"/>
      <c r="Q45" s="2"/>
      <c r="R45" s="2"/>
      <c r="S45" s="2"/>
      <c r="T45" s="2"/>
      <c r="U45" s="2"/>
      <c r="V45" s="2"/>
      <c r="W45" s="2"/>
      <c r="X45" s="2"/>
      <c r="Y45" s="2"/>
      <c r="Z45" s="2"/>
      <c r="AA45" s="4"/>
      <c r="AB45" s="3"/>
      <c r="AC45" s="4"/>
      <c r="AD45" s="2"/>
      <c r="AE45" s="2"/>
      <c r="AF45" s="99"/>
      <c r="AG45" s="2"/>
      <c r="AH45" s="99"/>
      <c r="AI45" s="2"/>
      <c r="AJ45" s="99"/>
      <c r="AK45" s="2"/>
    </row>
    <row r="46" spans="1:37" s="1" customFormat="1" ht="15" hidden="1" customHeight="1" x14ac:dyDescent="0.25">
      <c r="A46" s="2"/>
      <c r="B46" s="2" t="s">
        <v>80</v>
      </c>
      <c r="C46" s="2" t="s">
        <v>81</v>
      </c>
      <c r="D46" s="3"/>
      <c r="E46" s="3"/>
      <c r="F46" s="3" t="s">
        <v>6</v>
      </c>
      <c r="G46" s="23" t="s">
        <v>89</v>
      </c>
      <c r="H46" s="23"/>
      <c r="I46" s="4">
        <v>2150</v>
      </c>
      <c r="J46" s="4"/>
      <c r="K46" s="4"/>
      <c r="L46" s="2" t="s">
        <v>82</v>
      </c>
      <c r="M46" s="2"/>
      <c r="N46" s="3"/>
      <c r="O46" s="2"/>
      <c r="P46" s="3"/>
      <c r="Q46" s="2"/>
      <c r="R46" s="2"/>
      <c r="S46" s="2"/>
      <c r="T46" s="2"/>
      <c r="U46" s="2"/>
      <c r="V46" s="2"/>
      <c r="W46" s="2"/>
      <c r="X46" s="2"/>
      <c r="Y46" s="2"/>
      <c r="Z46" s="2"/>
      <c r="AA46" s="4"/>
      <c r="AB46" s="3"/>
      <c r="AC46" s="4"/>
      <c r="AD46" s="2"/>
      <c r="AE46" s="2"/>
      <c r="AF46" s="99"/>
      <c r="AG46" s="2"/>
      <c r="AH46" s="99"/>
      <c r="AI46" s="2"/>
      <c r="AJ46" s="99"/>
      <c r="AK46" s="2"/>
    </row>
    <row r="47" spans="1:37" s="1" customFormat="1" ht="15" hidden="1" customHeight="1" x14ac:dyDescent="0.25">
      <c r="A47" s="2"/>
      <c r="B47" s="2" t="s">
        <v>97</v>
      </c>
      <c r="C47" s="2" t="s">
        <v>98</v>
      </c>
      <c r="D47" s="3"/>
      <c r="E47" s="3"/>
      <c r="F47" s="3">
        <v>43252</v>
      </c>
      <c r="G47" s="2"/>
      <c r="H47" s="2"/>
      <c r="I47" s="4">
        <v>1000</v>
      </c>
      <c r="J47" s="4"/>
      <c r="K47" s="4"/>
      <c r="L47" s="2" t="s">
        <v>82</v>
      </c>
      <c r="M47" s="2"/>
      <c r="N47" s="3"/>
      <c r="O47" s="2"/>
      <c r="P47" s="3"/>
      <c r="Q47" s="2"/>
      <c r="R47" s="2"/>
      <c r="S47" s="2"/>
      <c r="T47" s="3"/>
      <c r="U47" s="4"/>
      <c r="V47" s="3"/>
      <c r="W47" s="4"/>
      <c r="X47" s="109" t="s">
        <v>181</v>
      </c>
      <c r="Y47" s="4"/>
      <c r="Z47" s="109" t="s">
        <v>181</v>
      </c>
      <c r="AA47" s="4"/>
      <c r="AB47" s="109" t="s">
        <v>181</v>
      </c>
      <c r="AC47" s="4"/>
      <c r="AD47" s="109" t="s">
        <v>181</v>
      </c>
      <c r="AE47" s="3"/>
      <c r="AF47" s="109" t="s">
        <v>181</v>
      </c>
      <c r="AG47" s="2"/>
      <c r="AH47" s="99"/>
      <c r="AI47" s="2"/>
      <c r="AJ47" s="99"/>
      <c r="AK47" s="2"/>
    </row>
    <row r="48" spans="1:37" s="1" customFormat="1" ht="15" hidden="1" customHeight="1" x14ac:dyDescent="0.25">
      <c r="A48" s="2"/>
      <c r="B48" s="2" t="s">
        <v>101</v>
      </c>
      <c r="C48" s="2" t="s">
        <v>102</v>
      </c>
      <c r="D48" s="3" t="s">
        <v>181</v>
      </c>
      <c r="E48" s="26" t="s">
        <v>181</v>
      </c>
      <c r="F48" s="3"/>
      <c r="G48" s="2"/>
      <c r="H48" s="2"/>
      <c r="I48" s="4"/>
      <c r="J48" s="4" t="s">
        <v>164</v>
      </c>
      <c r="K48" s="4" t="s">
        <v>181</v>
      </c>
      <c r="L48" s="2" t="s">
        <v>149</v>
      </c>
      <c r="M48" s="2" t="s">
        <v>275</v>
      </c>
      <c r="N48" s="3" t="s">
        <v>181</v>
      </c>
      <c r="O48" s="2" t="s">
        <v>181</v>
      </c>
      <c r="P48" s="3" t="s">
        <v>181</v>
      </c>
      <c r="Q48" s="2" t="s">
        <v>181</v>
      </c>
      <c r="R48" s="2" t="s">
        <v>181</v>
      </c>
      <c r="S48" s="2" t="s">
        <v>181</v>
      </c>
      <c r="T48" s="98" t="s">
        <v>181</v>
      </c>
      <c r="U48" s="98" t="s">
        <v>181</v>
      </c>
      <c r="V48" s="98" t="s">
        <v>181</v>
      </c>
      <c r="W48" s="98" t="s">
        <v>181</v>
      </c>
      <c r="X48" s="109" t="s">
        <v>181</v>
      </c>
      <c r="Y48" s="98" t="s">
        <v>181</v>
      </c>
      <c r="Z48" s="109" t="s">
        <v>181</v>
      </c>
      <c r="AA48" s="98" t="s">
        <v>181</v>
      </c>
      <c r="AB48" s="109" t="s">
        <v>181</v>
      </c>
      <c r="AC48" s="98" t="s">
        <v>181</v>
      </c>
      <c r="AD48" s="109" t="s">
        <v>181</v>
      </c>
      <c r="AE48" s="98" t="s">
        <v>181</v>
      </c>
      <c r="AF48" s="109" t="s">
        <v>181</v>
      </c>
      <c r="AG48" s="2" t="s">
        <v>181</v>
      </c>
      <c r="AH48" s="99" t="s">
        <v>181</v>
      </c>
      <c r="AI48" s="2" t="s">
        <v>181</v>
      </c>
      <c r="AJ48" s="99" t="s">
        <v>181</v>
      </c>
      <c r="AK48" s="2" t="s">
        <v>181</v>
      </c>
    </row>
    <row r="49" spans="1:37" s="1" customFormat="1" ht="15" hidden="1" customHeight="1" x14ac:dyDescent="0.25">
      <c r="A49" s="25"/>
      <c r="B49" s="25" t="s">
        <v>43</v>
      </c>
      <c r="C49" s="25" t="s">
        <v>103</v>
      </c>
      <c r="D49" s="26">
        <v>42880</v>
      </c>
      <c r="E49" s="26"/>
      <c r="F49" s="26" t="s">
        <v>6</v>
      </c>
      <c r="G49" s="73" t="s">
        <v>6</v>
      </c>
      <c r="H49" s="73" t="s">
        <v>7</v>
      </c>
      <c r="I49" s="27">
        <v>392</v>
      </c>
      <c r="J49" s="27" t="s">
        <v>140</v>
      </c>
      <c r="K49" s="27"/>
      <c r="L49" s="25" t="s">
        <v>149</v>
      </c>
      <c r="M49" s="41" t="s">
        <v>144</v>
      </c>
      <c r="N49" s="47">
        <v>0</v>
      </c>
      <c r="O49" s="47">
        <v>0</v>
      </c>
      <c r="P49" s="47" t="s">
        <v>199</v>
      </c>
      <c r="Q49" s="48" t="s">
        <v>199</v>
      </c>
      <c r="R49" s="3"/>
      <c r="S49" s="4"/>
      <c r="T49" s="3"/>
      <c r="U49" s="4"/>
      <c r="V49" s="3"/>
      <c r="W49" s="4"/>
      <c r="X49" s="3"/>
      <c r="Y49" s="4"/>
      <c r="Z49" s="3"/>
      <c r="AA49" s="4"/>
      <c r="AB49" s="3"/>
      <c r="AC49" s="4"/>
      <c r="AD49" s="3"/>
      <c r="AE49" s="4"/>
      <c r="AF49" s="99"/>
      <c r="AG49" s="4"/>
      <c r="AH49" s="99"/>
      <c r="AI49" s="4"/>
      <c r="AJ49" s="99"/>
      <c r="AK49" s="4"/>
    </row>
    <row r="50" spans="1:37" s="128" customFormat="1" ht="15.75" x14ac:dyDescent="0.25">
      <c r="A50" s="141"/>
      <c r="B50" s="122"/>
      <c r="C50" s="122"/>
      <c r="D50" s="123"/>
      <c r="E50" s="123"/>
      <c r="F50" s="123"/>
      <c r="G50" s="122"/>
      <c r="H50" s="122"/>
      <c r="I50" s="124"/>
      <c r="J50" s="124"/>
      <c r="K50" s="124"/>
      <c r="L50" s="122"/>
      <c r="M50" s="122"/>
      <c r="N50" s="125"/>
      <c r="O50" s="126">
        <f>SUBTOTAL(9,O3:O33)</f>
        <v>22372.920000000002</v>
      </c>
      <c r="P50" s="125"/>
      <c r="Q50" s="126">
        <f>SUBTOTAL(9,Q3:Q33)</f>
        <v>22245.26</v>
      </c>
      <c r="R50" s="125"/>
      <c r="S50" s="126">
        <f>SUBTOTAL(9,S3:S33)</f>
        <v>21356.39</v>
      </c>
      <c r="T50" s="125"/>
      <c r="U50" s="126">
        <f>SUBTOTAL(9,U3:U33)</f>
        <v>23872.27</v>
      </c>
      <c r="V50" s="125"/>
      <c r="W50" s="126">
        <f>SUBTOTAL(9,W3:W33)</f>
        <v>22111.53</v>
      </c>
      <c r="X50" s="127"/>
      <c r="Y50" s="126">
        <f>SUBTOTAL(9,Y3:Y33)</f>
        <v>22498.489999999998</v>
      </c>
      <c r="Z50" s="125"/>
      <c r="AA50" s="126">
        <f>SUBTOTAL(9,AA3:AA33)</f>
        <v>21434.649999999998</v>
      </c>
      <c r="AB50" s="125"/>
      <c r="AC50" s="126">
        <f>SUBTOTAL(9,AC3:AC33)</f>
        <v>21726.510000000002</v>
      </c>
      <c r="AD50" s="125"/>
      <c r="AE50" s="126">
        <f>SUBTOTAL(9,AE3:AE33)</f>
        <v>27057.31</v>
      </c>
      <c r="AF50" s="127"/>
      <c r="AG50" s="126">
        <f>SUBTOTAL(9,AG3:AG33)</f>
        <v>24075.460000000003</v>
      </c>
      <c r="AH50" s="127"/>
      <c r="AI50" s="126">
        <f>SUBTOTAL(9,AI3:AI33)</f>
        <v>25100.45</v>
      </c>
      <c r="AJ50" s="127"/>
      <c r="AK50" s="126">
        <f>SUBTOTAL(9,AK3:AK33)</f>
        <v>24221.100000000006</v>
      </c>
    </row>
    <row r="51" spans="1:37" s="1" customFormat="1" x14ac:dyDescent="0.25">
      <c r="A51" s="55"/>
      <c r="B51" s="55" t="s">
        <v>61</v>
      </c>
      <c r="C51" s="56"/>
      <c r="D51" s="56"/>
      <c r="E51" s="56"/>
      <c r="F51" s="56"/>
      <c r="G51" s="56"/>
      <c r="H51" s="56"/>
      <c r="I51" s="56"/>
      <c r="J51" s="56"/>
      <c r="K51" s="56"/>
      <c r="L51" s="56" t="s">
        <v>78</v>
      </c>
      <c r="M51" s="56"/>
      <c r="N51" s="57"/>
      <c r="O51" s="58"/>
      <c r="P51" s="57"/>
      <c r="Q51" s="58"/>
      <c r="R51" s="57"/>
      <c r="S51" s="58"/>
      <c r="T51" s="57"/>
      <c r="U51" s="58"/>
      <c r="V51" s="57"/>
      <c r="W51" s="58"/>
      <c r="X51" s="57"/>
      <c r="Y51" s="58"/>
      <c r="Z51" s="57"/>
      <c r="AA51" s="58"/>
      <c r="AB51" s="57"/>
      <c r="AC51" s="58"/>
      <c r="AD51" s="57"/>
      <c r="AE51" s="58"/>
      <c r="AF51" s="57"/>
      <c r="AG51" s="58"/>
      <c r="AH51" s="57"/>
      <c r="AI51" s="58"/>
      <c r="AJ51" s="57"/>
      <c r="AK51" s="58"/>
    </row>
    <row r="52" spans="1:37" s="1" customFormat="1" x14ac:dyDescent="0.25">
      <c r="A52" s="121">
        <v>1</v>
      </c>
      <c r="B52" s="35" t="s">
        <v>224</v>
      </c>
      <c r="C52" s="36" t="s">
        <v>202</v>
      </c>
      <c r="D52" s="37" t="s">
        <v>181</v>
      </c>
      <c r="E52" s="37" t="s">
        <v>181</v>
      </c>
      <c r="F52" s="37" t="s">
        <v>181</v>
      </c>
      <c r="G52" s="36" t="s">
        <v>181</v>
      </c>
      <c r="H52" s="36" t="s">
        <v>181</v>
      </c>
      <c r="I52" s="38" t="s">
        <v>181</v>
      </c>
      <c r="J52" s="38" t="s">
        <v>181</v>
      </c>
      <c r="K52" s="38" t="s">
        <v>181</v>
      </c>
      <c r="L52" s="2" t="s">
        <v>78</v>
      </c>
      <c r="M52" s="36"/>
      <c r="N52" s="110" t="s">
        <v>181</v>
      </c>
      <c r="O52" s="111" t="s">
        <v>181</v>
      </c>
      <c r="P52" s="112" t="s">
        <v>181</v>
      </c>
      <c r="Q52" s="111" t="s">
        <v>181</v>
      </c>
      <c r="R52" s="112" t="s">
        <v>181</v>
      </c>
      <c r="S52" s="111" t="s">
        <v>181</v>
      </c>
      <c r="T52" s="113" t="s">
        <v>181</v>
      </c>
      <c r="U52" s="113" t="s">
        <v>181</v>
      </c>
      <c r="V52" s="110" t="s">
        <v>181</v>
      </c>
      <c r="W52" s="113" t="s">
        <v>181</v>
      </c>
      <c r="X52" s="110" t="s">
        <v>181</v>
      </c>
      <c r="Y52" s="113" t="s">
        <v>181</v>
      </c>
      <c r="Z52" s="110" t="s">
        <v>181</v>
      </c>
      <c r="AA52" s="113" t="s">
        <v>181</v>
      </c>
      <c r="AB52" s="107" t="s">
        <v>181</v>
      </c>
      <c r="AC52" s="113" t="s">
        <v>181</v>
      </c>
      <c r="AD52" s="112" t="s">
        <v>181</v>
      </c>
      <c r="AE52" s="111" t="s">
        <v>181</v>
      </c>
      <c r="AF52" s="112" t="s">
        <v>181</v>
      </c>
      <c r="AG52" s="111" t="s">
        <v>181</v>
      </c>
      <c r="AH52" s="112" t="s">
        <v>181</v>
      </c>
      <c r="AI52" s="111" t="s">
        <v>181</v>
      </c>
      <c r="AJ52" s="112" t="s">
        <v>181</v>
      </c>
      <c r="AK52" s="114" t="s">
        <v>181</v>
      </c>
    </row>
    <row r="53" spans="1:37" s="1" customFormat="1" x14ac:dyDescent="0.25">
      <c r="A53" s="120">
        <v>2</v>
      </c>
      <c r="B53" s="35" t="s">
        <v>274</v>
      </c>
      <c r="C53" s="36" t="s">
        <v>204</v>
      </c>
      <c r="D53" s="37" t="s">
        <v>181</v>
      </c>
      <c r="E53" s="37" t="s">
        <v>181</v>
      </c>
      <c r="F53" s="37" t="s">
        <v>181</v>
      </c>
      <c r="G53" s="36" t="s">
        <v>181</v>
      </c>
      <c r="H53" s="36" t="s">
        <v>181</v>
      </c>
      <c r="I53" s="38" t="s">
        <v>181</v>
      </c>
      <c r="J53" s="38" t="s">
        <v>181</v>
      </c>
      <c r="K53" s="38" t="s">
        <v>181</v>
      </c>
      <c r="L53" s="2" t="s">
        <v>78</v>
      </c>
      <c r="M53" s="36"/>
      <c r="N53" s="110">
        <v>44210</v>
      </c>
      <c r="O53" s="111">
        <v>25000</v>
      </c>
      <c r="P53" s="112" t="s">
        <v>181</v>
      </c>
      <c r="Q53" s="111" t="s">
        <v>181</v>
      </c>
      <c r="R53" s="112">
        <v>44256</v>
      </c>
      <c r="S53" s="111">
        <v>25000</v>
      </c>
      <c r="T53" s="112">
        <v>44287</v>
      </c>
      <c r="U53" s="111">
        <f>60300+21000</f>
        <v>81300</v>
      </c>
      <c r="V53" s="110">
        <v>44319</v>
      </c>
      <c r="W53" s="111">
        <f>21000+37078</f>
        <v>58078</v>
      </c>
      <c r="X53" s="110">
        <v>44351</v>
      </c>
      <c r="Y53" s="111">
        <v>37078</v>
      </c>
      <c r="Z53" s="110">
        <v>44378</v>
      </c>
      <c r="AA53" s="111">
        <v>37078</v>
      </c>
      <c r="AB53" s="107" t="s">
        <v>181</v>
      </c>
      <c r="AC53" s="111" t="s">
        <v>181</v>
      </c>
      <c r="AD53" s="112" t="s">
        <v>181</v>
      </c>
      <c r="AE53" s="111" t="s">
        <v>181</v>
      </c>
      <c r="AF53" s="112" t="s">
        <v>181</v>
      </c>
      <c r="AG53" s="111" t="s">
        <v>181</v>
      </c>
      <c r="AH53" s="112" t="s">
        <v>181</v>
      </c>
      <c r="AI53" s="111" t="s">
        <v>181</v>
      </c>
      <c r="AJ53" s="112" t="s">
        <v>181</v>
      </c>
      <c r="AK53" s="114" t="s">
        <v>181</v>
      </c>
    </row>
    <row r="54" spans="1:37" s="1" customFormat="1" x14ac:dyDescent="0.25">
      <c r="A54" s="121">
        <v>3</v>
      </c>
      <c r="B54" s="35" t="s">
        <v>231</v>
      </c>
      <c r="C54" s="36"/>
      <c r="D54" s="37"/>
      <c r="E54" s="37"/>
      <c r="F54" s="37"/>
      <c r="G54" s="36" t="s">
        <v>181</v>
      </c>
      <c r="H54" s="36" t="s">
        <v>181</v>
      </c>
      <c r="I54" s="38"/>
      <c r="J54" s="38"/>
      <c r="K54" s="38"/>
      <c r="L54" s="2"/>
      <c r="M54" s="36"/>
      <c r="N54" s="110" t="s">
        <v>181</v>
      </c>
      <c r="O54" s="111" t="s">
        <v>181</v>
      </c>
      <c r="P54" s="112" t="s">
        <v>181</v>
      </c>
      <c r="Q54" s="111" t="s">
        <v>181</v>
      </c>
      <c r="R54" s="112" t="s">
        <v>181</v>
      </c>
      <c r="S54" s="111" t="s">
        <v>181</v>
      </c>
      <c r="T54" s="112" t="s">
        <v>181</v>
      </c>
      <c r="U54" s="111" t="s">
        <v>181</v>
      </c>
      <c r="V54" s="110" t="s">
        <v>181</v>
      </c>
      <c r="W54" s="111" t="s">
        <v>181</v>
      </c>
      <c r="X54" s="110" t="s">
        <v>181</v>
      </c>
      <c r="Y54" s="111" t="s">
        <v>181</v>
      </c>
      <c r="Z54" s="110" t="s">
        <v>181</v>
      </c>
      <c r="AA54" s="111" t="s">
        <v>181</v>
      </c>
      <c r="AB54" s="107">
        <v>44428</v>
      </c>
      <c r="AC54" s="111">
        <v>16666</v>
      </c>
      <c r="AD54" s="112">
        <v>44460</v>
      </c>
      <c r="AE54" s="111">
        <v>16666</v>
      </c>
      <c r="AF54" s="112">
        <v>44497</v>
      </c>
      <c r="AG54" s="111">
        <v>16666</v>
      </c>
      <c r="AH54" s="112">
        <v>44512</v>
      </c>
      <c r="AI54" s="111">
        <v>16666.66</v>
      </c>
      <c r="AJ54" s="112" t="s">
        <v>181</v>
      </c>
      <c r="AK54" s="114" t="s">
        <v>181</v>
      </c>
    </row>
    <row r="55" spans="1:37" s="1" customFormat="1" x14ac:dyDescent="0.25">
      <c r="A55" s="120">
        <v>4</v>
      </c>
      <c r="B55" s="35" t="s">
        <v>241</v>
      </c>
      <c r="C55" s="36"/>
      <c r="D55" s="37" t="s">
        <v>181</v>
      </c>
      <c r="E55" s="37" t="s">
        <v>181</v>
      </c>
      <c r="F55" s="37" t="s">
        <v>181</v>
      </c>
      <c r="G55" s="36" t="s">
        <v>181</v>
      </c>
      <c r="H55" s="36" t="s">
        <v>181</v>
      </c>
      <c r="I55" s="38" t="s">
        <v>181</v>
      </c>
      <c r="J55" s="38" t="s">
        <v>181</v>
      </c>
      <c r="K55" s="38" t="s">
        <v>181</v>
      </c>
      <c r="L55" s="2" t="s">
        <v>78</v>
      </c>
      <c r="M55" s="36"/>
      <c r="N55" s="110">
        <v>44204</v>
      </c>
      <c r="O55" s="111">
        <v>35200</v>
      </c>
      <c r="P55" s="112">
        <v>44235</v>
      </c>
      <c r="Q55" s="111">
        <v>44000</v>
      </c>
      <c r="R55" s="112">
        <v>44264</v>
      </c>
      <c r="S55" s="111">
        <v>44000</v>
      </c>
      <c r="T55" s="112">
        <v>44293</v>
      </c>
      <c r="U55" s="111">
        <v>52800</v>
      </c>
      <c r="V55" s="110">
        <v>44321</v>
      </c>
      <c r="W55" s="111">
        <v>52800</v>
      </c>
      <c r="X55" s="110">
        <v>44349</v>
      </c>
      <c r="Y55" s="111">
        <v>39600</v>
      </c>
      <c r="Z55" s="110" t="s">
        <v>181</v>
      </c>
      <c r="AA55" s="111" t="s">
        <v>181</v>
      </c>
      <c r="AB55" s="107" t="s">
        <v>181</v>
      </c>
      <c r="AC55" s="111" t="s">
        <v>181</v>
      </c>
      <c r="AD55" s="112" t="s">
        <v>181</v>
      </c>
      <c r="AE55" s="111" t="s">
        <v>181</v>
      </c>
      <c r="AF55" s="112" t="s">
        <v>181</v>
      </c>
      <c r="AG55" s="111" t="s">
        <v>181</v>
      </c>
      <c r="AH55" s="112" t="s">
        <v>181</v>
      </c>
      <c r="AI55" s="111" t="s">
        <v>181</v>
      </c>
      <c r="AJ55" s="112" t="s">
        <v>181</v>
      </c>
      <c r="AK55" s="114" t="s">
        <v>181</v>
      </c>
    </row>
    <row r="56" spans="1:37" s="139" customFormat="1" ht="15.75" x14ac:dyDescent="0.25">
      <c r="A56" s="142"/>
      <c r="B56" s="129"/>
      <c r="C56" s="130"/>
      <c r="D56" s="131"/>
      <c r="E56" s="131"/>
      <c r="F56" s="132"/>
      <c r="G56" s="133"/>
      <c r="H56" s="133"/>
      <c r="I56" s="134"/>
      <c r="J56" s="134"/>
      <c r="K56" s="134"/>
      <c r="L56" s="122"/>
      <c r="M56" s="130"/>
      <c r="N56" s="135"/>
      <c r="O56" s="136">
        <f>SUBTOTAL(9,O52:O55)</f>
        <v>60200</v>
      </c>
      <c r="P56" s="132"/>
      <c r="Q56" s="136">
        <f>SUBTOTAL(9,Q52:Q55)</f>
        <v>44000</v>
      </c>
      <c r="R56" s="132"/>
      <c r="S56" s="136">
        <f>SUBTOTAL(9,S52:S55)</f>
        <v>69000</v>
      </c>
      <c r="T56" s="137"/>
      <c r="U56" s="136">
        <f>SUBTOTAL(9,U52:U55)</f>
        <v>134100</v>
      </c>
      <c r="V56" s="135"/>
      <c r="W56" s="136">
        <f>SUBTOTAL(9,W52:W55)</f>
        <v>110878</v>
      </c>
      <c r="X56" s="135"/>
      <c r="Y56" s="136">
        <f>SUBTOTAL(9,Y52:Y55)</f>
        <v>76678</v>
      </c>
      <c r="Z56" s="135"/>
      <c r="AA56" s="136">
        <f>SUBTOTAL(9,AA52:AA55)</f>
        <v>37078</v>
      </c>
      <c r="AB56" s="138"/>
      <c r="AC56" s="136">
        <f>SUBTOTAL(9,AC52:AC55)</f>
        <v>16666</v>
      </c>
      <c r="AD56" s="132"/>
      <c r="AE56" s="136">
        <f>SUBTOTAL(9,AE52:AE55)</f>
        <v>16666</v>
      </c>
      <c r="AF56" s="132"/>
      <c r="AG56" s="136">
        <f>SUBTOTAL(9,AG52:AG55)</f>
        <v>16666</v>
      </c>
      <c r="AH56" s="132"/>
      <c r="AI56" s="136">
        <f>SUBTOTAL(9,AI52:AI55)</f>
        <v>16666.66</v>
      </c>
      <c r="AJ56" s="132"/>
      <c r="AK56" s="136">
        <f>SUBTOTAL(9,AK52:AK55)</f>
        <v>0</v>
      </c>
    </row>
    <row r="57" spans="1:37" s="128" customFormat="1" ht="15.75" x14ac:dyDescent="0.25">
      <c r="A57" s="140"/>
      <c r="B57" s="146" t="s">
        <v>152</v>
      </c>
      <c r="C57" s="130"/>
      <c r="D57" s="131"/>
      <c r="E57" s="131"/>
      <c r="F57" s="131"/>
      <c r="G57" s="130"/>
      <c r="H57" s="130"/>
      <c r="I57" s="147"/>
      <c r="J57" s="147"/>
      <c r="K57" s="147"/>
      <c r="L57" s="130"/>
      <c r="M57" s="130"/>
      <c r="N57" s="131"/>
      <c r="O57" s="147">
        <f>SUBTOTAL(9,O3:O56)</f>
        <v>82719.92</v>
      </c>
      <c r="P57" s="131"/>
      <c r="Q57" s="147">
        <f>SUBTOTAL(9,Q3:Q56)</f>
        <v>66329.259999999995</v>
      </c>
      <c r="R57" s="131"/>
      <c r="S57" s="147">
        <f>SUBTOTAL(9,S3:S56)</f>
        <v>90356.39</v>
      </c>
      <c r="T57" s="131"/>
      <c r="U57" s="147">
        <f>SUBTOTAL(9,U3:U56)</f>
        <v>157972.27000000002</v>
      </c>
      <c r="V57" s="131"/>
      <c r="W57" s="147">
        <f>SUBTOTAL(9,W3:W56)</f>
        <v>133639.88</v>
      </c>
      <c r="X57" s="131"/>
      <c r="Y57" s="147">
        <f>SUBTOTAL(109,Tabela145678[Valor8])</f>
        <v>99176.489999999991</v>
      </c>
      <c r="Z57" s="131"/>
      <c r="AA57" s="147">
        <f>SUBTOTAL(109,Tabela145678[Valor9])</f>
        <v>58512.649999999994</v>
      </c>
      <c r="AB57" s="123"/>
      <c r="AC57" s="147">
        <f>SUBTOTAL(109,Tabela145678[Valor10])</f>
        <v>38392.51</v>
      </c>
      <c r="AD57" s="131"/>
      <c r="AE57" s="147">
        <f>SUBTOTAL(109,Tabela145678[Valor11])</f>
        <v>43723.31</v>
      </c>
      <c r="AF57" s="131"/>
      <c r="AG57" s="147">
        <f>SUBTOTAL(109,Tabela145678[Valor12])</f>
        <v>40741.460000000006</v>
      </c>
      <c r="AH57" s="131"/>
      <c r="AI57" s="147">
        <f>SUBTOTAL(109,Tabela145678[Valor14])</f>
        <v>41767.11</v>
      </c>
      <c r="AJ57" s="131"/>
      <c r="AK57" s="148">
        <f>SUBTOTAL(109,Tabela145678[Valor2])</f>
        <v>24221.100000000006</v>
      </c>
    </row>
    <row r="62" spans="1:37" x14ac:dyDescent="0.25">
      <c r="W62" s="101"/>
    </row>
  </sheetData>
  <mergeCells count="14">
    <mergeCell ref="AB1:AC1"/>
    <mergeCell ref="AD1:AE1"/>
    <mergeCell ref="AF1:AG1"/>
    <mergeCell ref="AH1:AI1"/>
    <mergeCell ref="AJ1:AK1"/>
    <mergeCell ref="Z1:AA1"/>
    <mergeCell ref="D1:F1"/>
    <mergeCell ref="K1:L1"/>
    <mergeCell ref="N1:O1"/>
    <mergeCell ref="P1:Q1"/>
    <mergeCell ref="R1:S1"/>
    <mergeCell ref="T1:U1"/>
    <mergeCell ref="V1:W1"/>
    <mergeCell ref="X1:Y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35" orientation="landscape"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9">
    <pageSetUpPr fitToPage="1"/>
  </sheetPr>
  <dimension ref="A1:AK62"/>
  <sheetViews>
    <sheetView zoomScale="90" zoomScaleNormal="90" workbookViewId="0">
      <pane xSplit="13" ySplit="2" topLeftCell="N3" activePane="bottomRight" state="frozen"/>
      <selection pane="topRight" activeCell="M1" sqref="M1"/>
      <selection pane="bottomLeft" activeCell="A5" sqref="A5"/>
      <selection pane="bottomRight" activeCell="T31" sqref="T31"/>
    </sheetView>
  </sheetViews>
  <sheetFormatPr defaultColWidth="9.140625" defaultRowHeight="15" outlineLevelCol="1" x14ac:dyDescent="0.25"/>
  <cols>
    <col min="1" max="1" width="5.140625" style="100" bestFit="1" customWidth="1"/>
    <col min="2" max="2" width="26.5703125" style="100" bestFit="1" customWidth="1"/>
    <col min="3" max="3" width="51.28515625" style="100" hidden="1" customWidth="1" outlineLevel="1"/>
    <col min="4" max="4" width="22.28515625" style="100" hidden="1" customWidth="1" outlineLevel="1"/>
    <col min="5" max="5" width="19.28515625" style="100" hidden="1" customWidth="1" outlineLevel="1"/>
    <col min="6" max="6" width="15.140625" style="100" hidden="1" customWidth="1" outlineLevel="1"/>
    <col min="7" max="7" width="23" style="100" bestFit="1" customWidth="1" collapsed="1"/>
    <col min="8" max="8" width="18.140625" style="100" bestFit="1" customWidth="1"/>
    <col min="9" max="9" width="16.140625" style="100" hidden="1" customWidth="1" outlineLevel="1"/>
    <col min="10" max="10" width="47.5703125" style="100" hidden="1" customWidth="1" outlineLevel="1"/>
    <col min="11" max="11" width="26.140625" style="100" hidden="1" customWidth="1" outlineLevel="1"/>
    <col min="12" max="12" width="17" style="100" hidden="1" customWidth="1" outlineLevel="1"/>
    <col min="13" max="13" width="63" style="100" hidden="1" customWidth="1" outlineLevel="1"/>
    <col min="14" max="14" width="11.5703125" style="100" customWidth="1" collapsed="1"/>
    <col min="15" max="15" width="15.28515625" style="100" bestFit="1" customWidth="1"/>
    <col min="16" max="16" width="11.5703125" style="100" customWidth="1"/>
    <col min="17" max="17" width="15.28515625" style="100" bestFit="1" customWidth="1"/>
    <col min="18" max="18" width="14.42578125" style="100" bestFit="1" customWidth="1"/>
    <col min="19" max="19" width="15.28515625" style="100" bestFit="1" customWidth="1"/>
    <col min="20" max="20" width="15" style="100" customWidth="1"/>
    <col min="21" max="21" width="16.140625" style="100" bestFit="1" customWidth="1"/>
    <col min="22" max="22" width="14.42578125" style="100" bestFit="1" customWidth="1"/>
    <col min="23" max="23" width="16.140625" style="100" bestFit="1" customWidth="1"/>
    <col min="24" max="24" width="11.5703125" style="100" bestFit="1" customWidth="1"/>
    <col min="25" max="25" width="15.28515625" style="100" bestFit="1" customWidth="1"/>
    <col min="26" max="26" width="11.5703125" style="100" customWidth="1"/>
    <col min="27" max="27" width="15.28515625" style="100" bestFit="1" customWidth="1"/>
    <col min="28" max="28" width="11.5703125" style="100" customWidth="1"/>
    <col min="29" max="29" width="15.28515625" style="100" bestFit="1" customWidth="1"/>
    <col min="30" max="30" width="12.5703125" style="100" bestFit="1" customWidth="1"/>
    <col min="31" max="31" width="15.28515625" style="100" bestFit="1" customWidth="1"/>
    <col min="32" max="32" width="12.5703125" style="100" customWidth="1"/>
    <col min="33" max="33" width="15.28515625" style="100" bestFit="1" customWidth="1"/>
    <col min="34" max="34" width="12.5703125" style="100" customWidth="1"/>
    <col min="35" max="35" width="15" style="100" bestFit="1" customWidth="1"/>
    <col min="36" max="36" width="12.5703125" style="100" bestFit="1" customWidth="1"/>
    <col min="37" max="37" width="14.7109375" style="100" customWidth="1"/>
    <col min="38" max="16384" width="9.140625" style="100"/>
  </cols>
  <sheetData>
    <row r="1" spans="1:37" s="1" customFormat="1" ht="15" customHeight="1" x14ac:dyDescent="0.25">
      <c r="A1" s="143" t="s">
        <v>60</v>
      </c>
      <c r="B1" s="143"/>
      <c r="C1" s="144"/>
      <c r="D1" s="170"/>
      <c r="E1" s="170"/>
      <c r="F1" s="171"/>
      <c r="G1" s="69"/>
      <c r="H1" s="70"/>
      <c r="I1" s="69"/>
      <c r="J1" s="70"/>
      <c r="K1" s="170"/>
      <c r="L1" s="171"/>
      <c r="M1" s="62"/>
      <c r="N1" s="170">
        <v>44562</v>
      </c>
      <c r="O1" s="171"/>
      <c r="P1" s="172">
        <v>44593</v>
      </c>
      <c r="Q1" s="173"/>
      <c r="R1" s="170">
        <v>44621</v>
      </c>
      <c r="S1" s="171"/>
      <c r="T1" s="172">
        <v>44652</v>
      </c>
      <c r="U1" s="173"/>
      <c r="V1" s="170">
        <v>44682</v>
      </c>
      <c r="W1" s="171"/>
      <c r="X1" s="172">
        <v>44713</v>
      </c>
      <c r="Y1" s="173"/>
      <c r="Z1" s="170">
        <v>44743</v>
      </c>
      <c r="AA1" s="171"/>
      <c r="AB1" s="172">
        <v>44774</v>
      </c>
      <c r="AC1" s="173"/>
      <c r="AD1" s="170">
        <v>44805</v>
      </c>
      <c r="AE1" s="171"/>
      <c r="AF1" s="172">
        <v>44835</v>
      </c>
      <c r="AG1" s="173"/>
      <c r="AH1" s="170">
        <v>44866</v>
      </c>
      <c r="AI1" s="171"/>
      <c r="AJ1" s="172">
        <v>44896</v>
      </c>
      <c r="AK1" s="173"/>
    </row>
    <row r="2" spans="1:37" s="13" customFormat="1" ht="30" x14ac:dyDescent="0.25">
      <c r="A2" s="118" t="s">
        <v>276</v>
      </c>
      <c r="B2" s="11" t="s">
        <v>0</v>
      </c>
      <c r="C2" s="43" t="s">
        <v>5</v>
      </c>
      <c r="D2" s="45" t="s">
        <v>3</v>
      </c>
      <c r="E2" s="66" t="s">
        <v>209</v>
      </c>
      <c r="F2" s="45" t="s">
        <v>1</v>
      </c>
      <c r="G2" s="43" t="s">
        <v>8</v>
      </c>
      <c r="H2" s="43" t="s">
        <v>2</v>
      </c>
      <c r="I2" s="44" t="s">
        <v>79</v>
      </c>
      <c r="J2" s="44" t="s">
        <v>107</v>
      </c>
      <c r="K2" s="59" t="s">
        <v>186</v>
      </c>
      <c r="L2" s="43" t="s">
        <v>19</v>
      </c>
      <c r="M2" s="43" t="s">
        <v>105</v>
      </c>
      <c r="N2" s="45" t="s">
        <v>115</v>
      </c>
      <c r="O2" s="46" t="s">
        <v>116</v>
      </c>
      <c r="P2" s="45" t="s">
        <v>117</v>
      </c>
      <c r="Q2" s="46" t="s">
        <v>118</v>
      </c>
      <c r="R2" s="45" t="s">
        <v>119</v>
      </c>
      <c r="S2" s="46" t="s">
        <v>120</v>
      </c>
      <c r="T2" s="45" t="s">
        <v>121</v>
      </c>
      <c r="U2" s="46" t="s">
        <v>122</v>
      </c>
      <c r="V2" s="45" t="s">
        <v>123</v>
      </c>
      <c r="W2" s="46" t="s">
        <v>124</v>
      </c>
      <c r="X2" s="45" t="s">
        <v>125</v>
      </c>
      <c r="Y2" s="46" t="s">
        <v>126</v>
      </c>
      <c r="Z2" s="45" t="s">
        <v>127</v>
      </c>
      <c r="AA2" s="46" t="s">
        <v>128</v>
      </c>
      <c r="AB2" s="45" t="s">
        <v>129</v>
      </c>
      <c r="AC2" s="46" t="s">
        <v>130</v>
      </c>
      <c r="AD2" s="45" t="s">
        <v>131</v>
      </c>
      <c r="AE2" s="46" t="s">
        <v>132</v>
      </c>
      <c r="AF2" s="45" t="s">
        <v>133</v>
      </c>
      <c r="AG2" s="46" t="s">
        <v>134</v>
      </c>
      <c r="AH2" s="45" t="s">
        <v>135</v>
      </c>
      <c r="AI2" s="46" t="s">
        <v>137</v>
      </c>
      <c r="AJ2" s="45" t="s">
        <v>136</v>
      </c>
      <c r="AK2" s="46" t="s">
        <v>138</v>
      </c>
    </row>
    <row r="3" spans="1:37" s="1" customFormat="1" x14ac:dyDescent="0.25">
      <c r="A3" s="119">
        <v>1</v>
      </c>
      <c r="B3" s="25" t="s">
        <v>9</v>
      </c>
      <c r="C3" s="25" t="s">
        <v>262</v>
      </c>
      <c r="D3" s="26">
        <v>41644</v>
      </c>
      <c r="E3" s="26">
        <v>42008</v>
      </c>
      <c r="F3" s="26" t="s">
        <v>6</v>
      </c>
      <c r="G3" s="25" t="s">
        <v>89</v>
      </c>
      <c r="H3" s="25" t="s">
        <v>7</v>
      </c>
      <c r="I3" s="27" t="s">
        <v>139</v>
      </c>
      <c r="J3" s="27" t="s">
        <v>145</v>
      </c>
      <c r="K3" s="27" t="s">
        <v>185</v>
      </c>
      <c r="L3" s="25" t="s">
        <v>78</v>
      </c>
      <c r="M3" s="25" t="s">
        <v>184</v>
      </c>
      <c r="N3" s="105">
        <v>44564</v>
      </c>
      <c r="O3" s="106">
        <v>5824.02</v>
      </c>
      <c r="P3" s="105">
        <v>44595</v>
      </c>
      <c r="Q3" s="106">
        <v>6734.84</v>
      </c>
      <c r="R3" s="105">
        <v>44628</v>
      </c>
      <c r="S3" s="106">
        <v>6910.86</v>
      </c>
      <c r="T3" s="105">
        <v>44652</v>
      </c>
      <c r="U3" s="106">
        <v>6798.51</v>
      </c>
      <c r="V3" s="105">
        <v>44683</v>
      </c>
      <c r="W3" s="106">
        <v>5898.47</v>
      </c>
      <c r="X3" s="105">
        <v>44714</v>
      </c>
      <c r="Y3" s="106">
        <v>7369.06</v>
      </c>
      <c r="Z3" s="105">
        <v>44746</v>
      </c>
      <c r="AA3" s="106">
        <v>7722.96</v>
      </c>
      <c r="AB3" s="105">
        <v>44777</v>
      </c>
      <c r="AC3" s="106">
        <v>7502.33</v>
      </c>
      <c r="AD3" s="105">
        <v>44812</v>
      </c>
      <c r="AE3" s="106">
        <v>9479.09</v>
      </c>
      <c r="AF3" s="105">
        <v>44838</v>
      </c>
      <c r="AG3" s="106">
        <v>5527.51</v>
      </c>
      <c r="AH3" s="105">
        <v>44868</v>
      </c>
      <c r="AI3" s="106">
        <v>5153.96</v>
      </c>
      <c r="AJ3" s="105">
        <v>44897</v>
      </c>
      <c r="AK3" s="106">
        <v>9957.7000000000007</v>
      </c>
    </row>
    <row r="4" spans="1:37" s="1" customFormat="1" x14ac:dyDescent="0.25">
      <c r="A4" s="25">
        <v>2</v>
      </c>
      <c r="B4" s="25" t="s">
        <v>24</v>
      </c>
      <c r="C4" s="25" t="s">
        <v>263</v>
      </c>
      <c r="D4" s="26">
        <v>43102</v>
      </c>
      <c r="E4" s="26" t="s">
        <v>181</v>
      </c>
      <c r="F4" s="3" t="s">
        <v>13</v>
      </c>
      <c r="G4" s="25" t="s">
        <v>89</v>
      </c>
      <c r="H4" s="25" t="s">
        <v>7</v>
      </c>
      <c r="I4" s="27">
        <v>580</v>
      </c>
      <c r="J4" s="27" t="s">
        <v>141</v>
      </c>
      <c r="K4" s="27" t="s">
        <v>188</v>
      </c>
      <c r="L4" s="25" t="s">
        <v>78</v>
      </c>
      <c r="M4" s="25"/>
      <c r="N4" s="105">
        <v>44573</v>
      </c>
      <c r="O4" s="106">
        <v>713.4</v>
      </c>
      <c r="P4" s="105">
        <v>44606</v>
      </c>
      <c r="Q4" s="106">
        <v>713.4</v>
      </c>
      <c r="R4" s="105">
        <v>44636</v>
      </c>
      <c r="S4" s="106">
        <v>713.4</v>
      </c>
      <c r="T4" s="105">
        <v>44669</v>
      </c>
      <c r="U4" s="106">
        <v>713.4</v>
      </c>
      <c r="V4" s="105">
        <v>44698</v>
      </c>
      <c r="W4" s="106">
        <v>713.4</v>
      </c>
      <c r="X4" s="105">
        <v>44733</v>
      </c>
      <c r="Y4" s="106">
        <v>713.4</v>
      </c>
      <c r="Z4" s="105">
        <v>44761</v>
      </c>
      <c r="AA4" s="106">
        <v>713.4</v>
      </c>
      <c r="AB4" s="105">
        <v>44789</v>
      </c>
      <c r="AC4" s="106">
        <v>713.4</v>
      </c>
      <c r="AD4" s="105">
        <v>44831</v>
      </c>
      <c r="AE4" s="106">
        <v>713.4</v>
      </c>
      <c r="AF4" s="105">
        <v>44847</v>
      </c>
      <c r="AG4" s="106">
        <v>713.4</v>
      </c>
      <c r="AH4" s="105">
        <v>44875</v>
      </c>
      <c r="AI4" s="106">
        <v>713.4</v>
      </c>
      <c r="AJ4" s="105">
        <v>44904</v>
      </c>
      <c r="AK4" s="106">
        <v>713.4</v>
      </c>
    </row>
    <row r="5" spans="1:37" s="1" customFormat="1" x14ac:dyDescent="0.25">
      <c r="A5" s="119">
        <v>3</v>
      </c>
      <c r="B5" s="25" t="s">
        <v>31</v>
      </c>
      <c r="C5" s="25" t="s">
        <v>32</v>
      </c>
      <c r="D5" s="26">
        <v>40568</v>
      </c>
      <c r="E5" s="26">
        <v>43102</v>
      </c>
      <c r="F5" s="26" t="s">
        <v>33</v>
      </c>
      <c r="G5" s="25" t="s">
        <v>89</v>
      </c>
      <c r="H5" s="25" t="s">
        <v>7</v>
      </c>
      <c r="I5" s="27">
        <v>1452.21</v>
      </c>
      <c r="J5" s="27" t="s">
        <v>110</v>
      </c>
      <c r="K5" s="27" t="s">
        <v>189</v>
      </c>
      <c r="L5" s="25" t="s">
        <v>78</v>
      </c>
      <c r="M5" s="25"/>
      <c r="N5" s="105">
        <v>44565</v>
      </c>
      <c r="O5" s="106">
        <v>1517.01</v>
      </c>
      <c r="P5" s="105">
        <v>44595</v>
      </c>
      <c r="Q5" s="106">
        <v>1517.01</v>
      </c>
      <c r="R5" s="105">
        <v>44623</v>
      </c>
      <c r="S5" s="106">
        <v>1517.01</v>
      </c>
      <c r="T5" s="105">
        <v>44656</v>
      </c>
      <c r="U5" s="106">
        <f>910.21+606.8</f>
        <v>1517.01</v>
      </c>
      <c r="V5" s="105">
        <v>44683</v>
      </c>
      <c r="W5" s="106">
        <f>910.21+606.8</f>
        <v>1517.01</v>
      </c>
      <c r="X5" s="105">
        <v>44715</v>
      </c>
      <c r="Y5" s="106">
        <f>910.21+606.8</f>
        <v>1517.01</v>
      </c>
      <c r="Z5" s="105">
        <v>44747</v>
      </c>
      <c r="AA5" s="106">
        <v>1517.01</v>
      </c>
      <c r="AB5" s="105">
        <v>44775</v>
      </c>
      <c r="AC5" s="106">
        <f>910.21+606.8</f>
        <v>1517.01</v>
      </c>
      <c r="AD5" s="105">
        <v>44809</v>
      </c>
      <c r="AE5" s="106">
        <f>910.21+606.8</f>
        <v>1517.01</v>
      </c>
      <c r="AF5" s="105">
        <v>44839</v>
      </c>
      <c r="AG5" s="106">
        <f>998.25+665.5</f>
        <v>1663.75</v>
      </c>
      <c r="AH5" s="105">
        <v>44873</v>
      </c>
      <c r="AI5" s="106">
        <f>998.25+665.5</f>
        <v>1663.75</v>
      </c>
      <c r="AJ5" s="105">
        <v>44900</v>
      </c>
      <c r="AK5" s="106">
        <f>998.25+665.5</f>
        <v>1663.75</v>
      </c>
    </row>
    <row r="6" spans="1:37" s="1" customFormat="1" ht="15.75" thickBot="1" x14ac:dyDescent="0.3">
      <c r="A6" s="25">
        <v>4</v>
      </c>
      <c r="B6" s="25" t="s">
        <v>42</v>
      </c>
      <c r="C6" s="25" t="s">
        <v>214</v>
      </c>
      <c r="D6" s="26">
        <v>43040</v>
      </c>
      <c r="E6" s="26">
        <v>43119</v>
      </c>
      <c r="F6" s="26" t="s">
        <v>28</v>
      </c>
      <c r="G6" s="73" t="s">
        <v>210</v>
      </c>
      <c r="H6" s="25" t="s">
        <v>7</v>
      </c>
      <c r="I6" s="27">
        <v>930.4</v>
      </c>
      <c r="J6" s="27" t="s">
        <v>141</v>
      </c>
      <c r="K6" s="27" t="s">
        <v>190</v>
      </c>
      <c r="L6" s="25" t="s">
        <v>78</v>
      </c>
      <c r="M6" s="25"/>
      <c r="N6" s="105">
        <v>44572</v>
      </c>
      <c r="O6" s="106">
        <v>930.4</v>
      </c>
      <c r="P6" s="105">
        <v>44608</v>
      </c>
      <c r="Q6" s="106">
        <v>930.4</v>
      </c>
      <c r="R6" s="105">
        <v>44636</v>
      </c>
      <c r="S6" s="106">
        <v>930.4</v>
      </c>
      <c r="T6" s="105">
        <v>44669</v>
      </c>
      <c r="U6" s="106">
        <v>930.4</v>
      </c>
      <c r="V6" s="105">
        <v>44697</v>
      </c>
      <c r="W6" s="106">
        <v>930.4</v>
      </c>
      <c r="X6" s="105">
        <v>44735</v>
      </c>
      <c r="Y6" s="106">
        <v>930.4</v>
      </c>
      <c r="Z6" s="105">
        <v>44763</v>
      </c>
      <c r="AA6" s="106">
        <v>930.4</v>
      </c>
      <c r="AB6" s="105">
        <v>44802</v>
      </c>
      <c r="AC6" s="106">
        <v>930.4</v>
      </c>
      <c r="AD6" s="105">
        <v>44813</v>
      </c>
      <c r="AE6" s="106">
        <v>930.4</v>
      </c>
      <c r="AF6" s="105">
        <v>44840</v>
      </c>
      <c r="AG6" s="106">
        <v>930.4</v>
      </c>
      <c r="AH6" s="105">
        <v>44895</v>
      </c>
      <c r="AI6" s="106">
        <v>997.15</v>
      </c>
      <c r="AJ6" s="105">
        <v>44900</v>
      </c>
      <c r="AK6" s="106">
        <v>997.15</v>
      </c>
    </row>
    <row r="7" spans="1:37" s="1" customFormat="1" x14ac:dyDescent="0.25">
      <c r="A7" s="119"/>
      <c r="B7" s="25" t="s">
        <v>212</v>
      </c>
      <c r="C7" s="25"/>
      <c r="D7" s="26"/>
      <c r="E7" s="26" t="s">
        <v>181</v>
      </c>
      <c r="F7" s="71" t="s">
        <v>13</v>
      </c>
      <c r="G7" s="79" t="s">
        <v>218</v>
      </c>
      <c r="H7" s="80">
        <v>45231</v>
      </c>
      <c r="I7" s="72"/>
      <c r="J7" s="27"/>
      <c r="K7" s="27"/>
      <c r="L7" s="25" t="s">
        <v>78</v>
      </c>
      <c r="M7" s="25"/>
      <c r="N7" s="105"/>
      <c r="O7" s="106"/>
      <c r="P7" s="105"/>
      <c r="Q7" s="106"/>
      <c r="R7" s="105"/>
      <c r="S7" s="106"/>
      <c r="T7" s="105"/>
      <c r="U7" s="106"/>
      <c r="V7" s="105"/>
      <c r="W7" s="106"/>
      <c r="X7" s="105"/>
      <c r="Y7" s="106"/>
      <c r="Z7" s="105"/>
      <c r="AA7" s="106"/>
      <c r="AB7" s="105"/>
      <c r="AC7" s="106"/>
      <c r="AD7" s="105"/>
      <c r="AE7" s="106"/>
      <c r="AF7" s="105"/>
      <c r="AG7" s="106"/>
      <c r="AH7" s="105"/>
      <c r="AI7" s="106"/>
      <c r="AJ7" s="105"/>
      <c r="AK7" s="106"/>
    </row>
    <row r="8" spans="1:37" s="1" customFormat="1" ht="15.75" thickBot="1" x14ac:dyDescent="0.3">
      <c r="A8" s="25"/>
      <c r="B8" s="25" t="s">
        <v>213</v>
      </c>
      <c r="C8" s="25"/>
      <c r="D8" s="26">
        <v>43405</v>
      </c>
      <c r="E8" s="26" t="s">
        <v>181</v>
      </c>
      <c r="F8" s="71" t="s">
        <v>28</v>
      </c>
      <c r="G8" s="76" t="s">
        <v>218</v>
      </c>
      <c r="H8" s="77">
        <v>45231</v>
      </c>
      <c r="I8" s="72"/>
      <c r="J8" s="27"/>
      <c r="K8" s="27"/>
      <c r="L8" s="25" t="s">
        <v>78</v>
      </c>
      <c r="M8" s="25"/>
      <c r="N8" s="105"/>
      <c r="O8" s="106"/>
      <c r="P8" s="105"/>
      <c r="Q8" s="106"/>
      <c r="R8" s="105"/>
      <c r="S8" s="106"/>
      <c r="T8" s="105"/>
      <c r="U8" s="106"/>
      <c r="V8" s="105"/>
      <c r="W8" s="106"/>
      <c r="X8" s="105"/>
      <c r="Y8" s="106"/>
      <c r="Z8" s="105"/>
      <c r="AA8" s="106"/>
      <c r="AB8" s="105"/>
      <c r="AC8" s="106"/>
      <c r="AD8" s="105"/>
      <c r="AE8" s="106"/>
      <c r="AF8" s="105"/>
      <c r="AG8" s="106"/>
      <c r="AH8" s="105"/>
      <c r="AI8" s="106"/>
      <c r="AJ8" s="105"/>
      <c r="AK8" s="106"/>
    </row>
    <row r="9" spans="1:37" s="1" customFormat="1" ht="15.75" thickBot="1" x14ac:dyDescent="0.3">
      <c r="A9" s="119">
        <v>5</v>
      </c>
      <c r="B9" s="25" t="s">
        <v>231</v>
      </c>
      <c r="C9" s="25" t="s">
        <v>232</v>
      </c>
      <c r="D9" s="26">
        <v>43616</v>
      </c>
      <c r="E9" s="26"/>
      <c r="F9" s="71" t="s">
        <v>13</v>
      </c>
      <c r="G9" s="91" t="s">
        <v>89</v>
      </c>
      <c r="H9" s="92" t="s">
        <v>7</v>
      </c>
      <c r="I9" s="72">
        <v>202</v>
      </c>
      <c r="J9" s="27" t="s">
        <v>141</v>
      </c>
      <c r="K9" s="27" t="s">
        <v>266</v>
      </c>
      <c r="L9" s="25" t="s">
        <v>78</v>
      </c>
      <c r="M9" s="25"/>
      <c r="N9" s="105">
        <v>44565</v>
      </c>
      <c r="O9" s="106">
        <v>404</v>
      </c>
      <c r="P9" s="105">
        <v>44595</v>
      </c>
      <c r="Q9" s="106">
        <v>404</v>
      </c>
      <c r="R9" s="105">
        <v>44622</v>
      </c>
      <c r="S9" s="106">
        <v>404</v>
      </c>
      <c r="T9" s="105">
        <v>44652</v>
      </c>
      <c r="U9" s="106">
        <v>404</v>
      </c>
      <c r="V9" s="105">
        <v>44683</v>
      </c>
      <c r="W9" s="106">
        <v>404</v>
      </c>
      <c r="X9" s="105">
        <v>44714</v>
      </c>
      <c r="Y9" s="106">
        <v>404</v>
      </c>
      <c r="Z9" s="105">
        <v>44746</v>
      </c>
      <c r="AA9" s="106">
        <v>404</v>
      </c>
      <c r="AB9" s="105">
        <v>44775</v>
      </c>
      <c r="AC9" s="106">
        <v>447.23</v>
      </c>
      <c r="AD9" s="105">
        <v>44806</v>
      </c>
      <c r="AE9" s="106">
        <f>447.23+88.78</f>
        <v>536.01</v>
      </c>
      <c r="AF9" s="105">
        <v>44838</v>
      </c>
      <c r="AG9" s="106">
        <v>447.23</v>
      </c>
      <c r="AH9" s="105">
        <v>44868</v>
      </c>
      <c r="AI9" s="106">
        <v>447.23</v>
      </c>
      <c r="AJ9" s="105">
        <v>44897</v>
      </c>
      <c r="AK9" s="106">
        <v>447.23</v>
      </c>
    </row>
    <row r="10" spans="1:37" s="1" customFormat="1" x14ac:dyDescent="0.25">
      <c r="A10" s="25"/>
      <c r="B10" s="25" t="s">
        <v>212</v>
      </c>
      <c r="C10" s="25"/>
      <c r="D10" s="26"/>
      <c r="E10" s="26" t="s">
        <v>181</v>
      </c>
      <c r="F10" s="71" t="s">
        <v>13</v>
      </c>
      <c r="G10" s="79" t="s">
        <v>218</v>
      </c>
      <c r="H10" s="80">
        <v>45121</v>
      </c>
      <c r="I10" s="72"/>
      <c r="J10" s="27"/>
      <c r="K10" s="27"/>
      <c r="L10" s="25" t="s">
        <v>78</v>
      </c>
      <c r="M10" s="25"/>
      <c r="N10" s="105"/>
      <c r="O10" s="106"/>
      <c r="P10" s="105"/>
      <c r="Q10" s="106"/>
      <c r="R10" s="105"/>
      <c r="S10" s="106"/>
      <c r="T10" s="105"/>
      <c r="U10" s="106"/>
      <c r="V10" s="105"/>
      <c r="W10" s="106"/>
      <c r="X10" s="105"/>
      <c r="Y10" s="106"/>
      <c r="Z10" s="105"/>
      <c r="AA10" s="106"/>
      <c r="AB10" s="105"/>
      <c r="AC10" s="106"/>
      <c r="AD10" s="105"/>
      <c r="AE10" s="106"/>
      <c r="AF10" s="105"/>
      <c r="AG10" s="106"/>
      <c r="AH10" s="105"/>
      <c r="AI10" s="106"/>
      <c r="AJ10" s="105"/>
      <c r="AK10" s="106"/>
    </row>
    <row r="11" spans="1:37" s="1" customFormat="1" ht="15.75" thickBot="1" x14ac:dyDescent="0.3">
      <c r="A11" s="119"/>
      <c r="B11" s="25" t="s">
        <v>213</v>
      </c>
      <c r="C11" s="25"/>
      <c r="D11" s="26">
        <v>43405</v>
      </c>
      <c r="E11" s="26" t="s">
        <v>181</v>
      </c>
      <c r="F11" s="71" t="s">
        <v>28</v>
      </c>
      <c r="G11" s="76" t="s">
        <v>218</v>
      </c>
      <c r="H11" s="77">
        <v>45121</v>
      </c>
      <c r="I11" s="72"/>
      <c r="J11" s="27"/>
      <c r="K11" s="27"/>
      <c r="L11" s="25" t="s">
        <v>78</v>
      </c>
      <c r="M11" s="25"/>
      <c r="N11" s="105"/>
      <c r="O11" s="106"/>
      <c r="P11" s="105"/>
      <c r="Q11" s="106"/>
      <c r="R11" s="105"/>
      <c r="S11" s="106"/>
      <c r="T11" s="105"/>
      <c r="U11" s="106"/>
      <c r="V11" s="105"/>
      <c r="W11" s="106"/>
      <c r="X11" s="105"/>
      <c r="Y11" s="106"/>
      <c r="Z11" s="105"/>
      <c r="AA11" s="106"/>
      <c r="AB11" s="105"/>
      <c r="AC11" s="106"/>
      <c r="AD11" s="105"/>
      <c r="AE11" s="106"/>
      <c r="AF11" s="105"/>
      <c r="AG11" s="106"/>
      <c r="AH11" s="105"/>
      <c r="AI11" s="106"/>
      <c r="AJ11" s="105"/>
      <c r="AK11" s="106"/>
    </row>
    <row r="12" spans="1:37" s="1" customFormat="1" ht="15.75" thickBot="1" x14ac:dyDescent="0.3">
      <c r="A12" s="25">
        <v>6</v>
      </c>
      <c r="B12" s="25" t="s">
        <v>231</v>
      </c>
      <c r="C12" s="25" t="s">
        <v>283</v>
      </c>
      <c r="D12" s="26">
        <v>44391</v>
      </c>
      <c r="E12" s="26"/>
      <c r="F12" s="71" t="s">
        <v>13</v>
      </c>
      <c r="G12" s="91" t="s">
        <v>89</v>
      </c>
      <c r="H12" s="92" t="s">
        <v>7</v>
      </c>
      <c r="I12" s="72">
        <v>202</v>
      </c>
      <c r="J12" s="27" t="s">
        <v>141</v>
      </c>
      <c r="K12" s="27" t="s">
        <v>266</v>
      </c>
      <c r="L12" s="25" t="s">
        <v>78</v>
      </c>
      <c r="M12" s="25"/>
      <c r="N12" s="105">
        <v>44565</v>
      </c>
      <c r="O12" s="106">
        <v>290.77999999999997</v>
      </c>
      <c r="P12" s="105">
        <v>44595</v>
      </c>
      <c r="Q12" s="106">
        <v>202</v>
      </c>
      <c r="R12" s="105">
        <v>44622</v>
      </c>
      <c r="S12" s="106">
        <v>202</v>
      </c>
      <c r="T12" s="105">
        <v>44652</v>
      </c>
      <c r="U12" s="106">
        <v>202</v>
      </c>
      <c r="V12" s="105">
        <v>44683</v>
      </c>
      <c r="W12" s="106">
        <v>202</v>
      </c>
      <c r="X12" s="105">
        <v>44714</v>
      </c>
      <c r="Y12" s="106">
        <v>202</v>
      </c>
      <c r="Z12" s="105">
        <v>44746</v>
      </c>
      <c r="AA12" s="106">
        <v>202</v>
      </c>
      <c r="AB12" s="105">
        <v>44775</v>
      </c>
      <c r="AC12" s="106">
        <v>202</v>
      </c>
      <c r="AD12" s="105">
        <v>44806</v>
      </c>
      <c r="AE12" s="106">
        <v>202</v>
      </c>
      <c r="AF12" s="105">
        <v>44838</v>
      </c>
      <c r="AG12" s="106">
        <v>202</v>
      </c>
      <c r="AH12" s="105">
        <v>44868</v>
      </c>
      <c r="AI12" s="106">
        <v>202</v>
      </c>
      <c r="AJ12" s="105">
        <v>44897</v>
      </c>
      <c r="AK12" s="106">
        <v>215.17</v>
      </c>
    </row>
    <row r="13" spans="1:37" s="1" customFormat="1" x14ac:dyDescent="0.25">
      <c r="A13" s="119"/>
      <c r="B13" s="25" t="s">
        <v>212</v>
      </c>
      <c r="C13" s="25"/>
      <c r="D13" s="26"/>
      <c r="E13" s="26" t="s">
        <v>181</v>
      </c>
      <c r="F13" s="71" t="s">
        <v>13</v>
      </c>
      <c r="G13" s="79" t="s">
        <v>218</v>
      </c>
      <c r="H13" s="80">
        <v>45233</v>
      </c>
      <c r="I13" s="72"/>
      <c r="J13" s="27"/>
      <c r="K13" s="27"/>
      <c r="L13" s="25" t="s">
        <v>78</v>
      </c>
      <c r="M13" s="25"/>
      <c r="N13" s="105"/>
      <c r="O13" s="106"/>
      <c r="P13" s="105"/>
      <c r="Q13" s="106"/>
      <c r="R13" s="105"/>
      <c r="S13" s="106"/>
      <c r="T13" s="105"/>
      <c r="U13" s="106"/>
      <c r="V13" s="105"/>
      <c r="W13" s="106"/>
      <c r="X13" s="105"/>
      <c r="Y13" s="106"/>
      <c r="Z13" s="105"/>
      <c r="AA13" s="106"/>
      <c r="AB13" s="105"/>
      <c r="AC13" s="106"/>
      <c r="AD13" s="105"/>
      <c r="AE13" s="106"/>
      <c r="AF13" s="105"/>
      <c r="AG13" s="106"/>
      <c r="AH13" s="105"/>
      <c r="AI13" s="106"/>
      <c r="AJ13" s="105"/>
      <c r="AK13" s="106"/>
    </row>
    <row r="14" spans="1:37" s="1" customFormat="1" ht="15.75" thickBot="1" x14ac:dyDescent="0.3">
      <c r="A14" s="25"/>
      <c r="B14" s="25" t="s">
        <v>213</v>
      </c>
      <c r="C14" s="25"/>
      <c r="D14" s="26">
        <v>43405</v>
      </c>
      <c r="E14" s="26" t="s">
        <v>181</v>
      </c>
      <c r="F14" s="71" t="s">
        <v>28</v>
      </c>
      <c r="G14" s="76" t="s">
        <v>218</v>
      </c>
      <c r="H14" s="77">
        <v>45233</v>
      </c>
      <c r="I14" s="72"/>
      <c r="J14" s="27"/>
      <c r="K14" s="27"/>
      <c r="L14" s="25" t="s">
        <v>78</v>
      </c>
      <c r="M14" s="25"/>
      <c r="N14" s="105"/>
      <c r="O14" s="106"/>
      <c r="P14" s="105"/>
      <c r="Q14" s="106"/>
      <c r="R14" s="105"/>
      <c r="S14" s="106"/>
      <c r="T14" s="105"/>
      <c r="U14" s="106"/>
      <c r="V14" s="105"/>
      <c r="W14" s="106"/>
      <c r="X14" s="105"/>
      <c r="Y14" s="106"/>
      <c r="Z14" s="105"/>
      <c r="AA14" s="106"/>
      <c r="AB14" s="105"/>
      <c r="AC14" s="106"/>
      <c r="AD14" s="105"/>
      <c r="AE14" s="106"/>
      <c r="AF14" s="105"/>
      <c r="AG14" s="106"/>
      <c r="AH14" s="105"/>
      <c r="AI14" s="106"/>
      <c r="AJ14" s="105"/>
      <c r="AK14" s="106"/>
    </row>
    <row r="15" spans="1:37" s="1" customFormat="1" ht="15.75" thickBot="1" x14ac:dyDescent="0.3">
      <c r="A15" s="119">
        <v>7</v>
      </c>
      <c r="B15" s="25" t="s">
        <v>44</v>
      </c>
      <c r="C15" s="25" t="s">
        <v>86</v>
      </c>
      <c r="D15" s="26">
        <v>38979</v>
      </c>
      <c r="E15" s="26" t="s">
        <v>181</v>
      </c>
      <c r="F15" s="26" t="s">
        <v>6</v>
      </c>
      <c r="G15" s="73" t="s">
        <v>89</v>
      </c>
      <c r="H15" s="73" t="s">
        <v>211</v>
      </c>
      <c r="I15" s="27">
        <v>1230.56</v>
      </c>
      <c r="J15" s="27" t="s">
        <v>110</v>
      </c>
      <c r="K15" s="27" t="s">
        <v>192</v>
      </c>
      <c r="L15" s="25" t="s">
        <v>78</v>
      </c>
      <c r="M15" s="25"/>
      <c r="N15" s="105">
        <v>44567</v>
      </c>
      <c r="O15" s="106">
        <v>1817.9</v>
      </c>
      <c r="P15" s="105">
        <v>44596</v>
      </c>
      <c r="Q15" s="106">
        <v>1817.9</v>
      </c>
      <c r="R15" s="105">
        <v>44624</v>
      </c>
      <c r="S15" s="106">
        <v>1817.9</v>
      </c>
      <c r="T15" s="105">
        <v>44657</v>
      </c>
      <c r="U15" s="106">
        <v>1817.9</v>
      </c>
      <c r="V15" s="105">
        <v>44686</v>
      </c>
      <c r="W15" s="106">
        <v>1817.9</v>
      </c>
      <c r="X15" s="105">
        <v>44718</v>
      </c>
      <c r="Y15" s="106">
        <v>1817.9</v>
      </c>
      <c r="Z15" s="105">
        <v>44746</v>
      </c>
      <c r="AA15" s="106">
        <v>1817.9</v>
      </c>
      <c r="AB15" s="105">
        <v>44777</v>
      </c>
      <c r="AC15" s="106">
        <v>1817.9</v>
      </c>
      <c r="AD15" s="105">
        <v>44816</v>
      </c>
      <c r="AE15" s="106">
        <v>1975.56</v>
      </c>
      <c r="AF15" s="105">
        <v>44840</v>
      </c>
      <c r="AG15" s="106">
        <v>1975.56</v>
      </c>
      <c r="AH15" s="105">
        <v>44869</v>
      </c>
      <c r="AI15" s="106">
        <v>1975.56</v>
      </c>
      <c r="AJ15" s="105">
        <v>44900</v>
      </c>
      <c r="AK15" s="106">
        <v>1975.56</v>
      </c>
    </row>
    <row r="16" spans="1:37" s="1" customFormat="1" x14ac:dyDescent="0.25">
      <c r="A16" s="25"/>
      <c r="B16" s="25" t="s">
        <v>212</v>
      </c>
      <c r="C16" s="25"/>
      <c r="D16" s="26">
        <v>43530</v>
      </c>
      <c r="E16" s="26" t="s">
        <v>181</v>
      </c>
      <c r="F16" s="71" t="s">
        <v>13</v>
      </c>
      <c r="G16" s="74" t="s">
        <v>218</v>
      </c>
      <c r="H16" s="151">
        <v>44874</v>
      </c>
      <c r="I16" s="72"/>
      <c r="J16" s="27"/>
      <c r="K16" s="27"/>
      <c r="L16" s="25" t="s">
        <v>78</v>
      </c>
      <c r="M16" s="25"/>
      <c r="N16" s="105"/>
      <c r="O16" s="106"/>
      <c r="P16" s="105"/>
      <c r="Q16" s="106"/>
      <c r="R16" s="105"/>
      <c r="S16" s="106"/>
      <c r="T16" s="105"/>
      <c r="U16" s="106"/>
      <c r="V16" s="105"/>
      <c r="W16" s="106"/>
      <c r="X16" s="105"/>
      <c r="Y16" s="106"/>
      <c r="Z16" s="105"/>
      <c r="AA16" s="106"/>
      <c r="AB16" s="105"/>
      <c r="AC16" s="106"/>
      <c r="AD16" s="105"/>
      <c r="AE16" s="106"/>
      <c r="AF16" s="105"/>
      <c r="AG16" s="106"/>
      <c r="AH16" s="105"/>
      <c r="AI16" s="106"/>
      <c r="AJ16" s="105"/>
      <c r="AK16" s="106"/>
    </row>
    <row r="17" spans="1:37" s="1" customFormat="1" ht="15.75" thickBot="1" x14ac:dyDescent="0.3">
      <c r="A17" s="119"/>
      <c r="B17" s="25" t="s">
        <v>213</v>
      </c>
      <c r="C17" s="25"/>
      <c r="D17" s="26">
        <v>43344</v>
      </c>
      <c r="E17" s="26" t="s">
        <v>181</v>
      </c>
      <c r="F17" s="71" t="s">
        <v>13</v>
      </c>
      <c r="G17" s="76" t="s">
        <v>218</v>
      </c>
      <c r="H17" s="77">
        <v>45169</v>
      </c>
      <c r="I17" s="72"/>
      <c r="J17" s="27"/>
      <c r="K17" s="27"/>
      <c r="L17" s="25" t="s">
        <v>78</v>
      </c>
      <c r="M17" s="25"/>
      <c r="N17" s="105"/>
      <c r="O17" s="106"/>
      <c r="P17" s="105"/>
      <c r="Q17" s="106"/>
      <c r="R17" s="105"/>
      <c r="S17" s="106"/>
      <c r="T17" s="105"/>
      <c r="U17" s="106"/>
      <c r="V17" s="105"/>
      <c r="W17" s="106"/>
      <c r="X17" s="105"/>
      <c r="Y17" s="106"/>
      <c r="Z17" s="105"/>
      <c r="AA17" s="106"/>
      <c r="AB17" s="105"/>
      <c r="AC17" s="106"/>
      <c r="AD17" s="105"/>
      <c r="AE17" s="106"/>
      <c r="AF17" s="105"/>
      <c r="AG17" s="106"/>
      <c r="AH17" s="105"/>
      <c r="AI17" s="106"/>
      <c r="AJ17" s="105"/>
      <c r="AK17" s="106"/>
    </row>
    <row r="18" spans="1:37" s="1" customFormat="1" x14ac:dyDescent="0.25">
      <c r="A18" s="25">
        <v>8</v>
      </c>
      <c r="B18" s="25" t="s">
        <v>230</v>
      </c>
      <c r="C18" s="25" t="s">
        <v>264</v>
      </c>
      <c r="D18" s="26">
        <v>43115</v>
      </c>
      <c r="E18" s="26" t="s">
        <v>181</v>
      </c>
      <c r="F18" s="71" t="s">
        <v>216</v>
      </c>
      <c r="G18" s="25" t="s">
        <v>217</v>
      </c>
      <c r="H18" s="25" t="s">
        <v>181</v>
      </c>
      <c r="I18" s="72">
        <v>3500</v>
      </c>
      <c r="J18" s="27" t="s">
        <v>140</v>
      </c>
      <c r="K18" s="27" t="s">
        <v>191</v>
      </c>
      <c r="L18" s="25" t="s">
        <v>78</v>
      </c>
      <c r="M18" s="25"/>
      <c r="N18" s="105">
        <v>44567</v>
      </c>
      <c r="O18" s="106">
        <v>2000</v>
      </c>
      <c r="P18" s="105">
        <v>44596</v>
      </c>
      <c r="Q18" s="106">
        <v>2500</v>
      </c>
      <c r="R18" s="105">
        <v>44634</v>
      </c>
      <c r="S18" s="106">
        <v>2500</v>
      </c>
      <c r="T18" s="105">
        <v>44657</v>
      </c>
      <c r="U18" s="106">
        <v>2500</v>
      </c>
      <c r="V18" s="105">
        <v>44691</v>
      </c>
      <c r="W18" s="106">
        <v>2500</v>
      </c>
      <c r="X18" s="105">
        <v>44719</v>
      </c>
      <c r="Y18" s="106">
        <v>2500</v>
      </c>
      <c r="Z18" s="105">
        <v>44750</v>
      </c>
      <c r="AA18" s="106">
        <v>2500</v>
      </c>
      <c r="AB18" s="105">
        <v>44778</v>
      </c>
      <c r="AC18" s="106">
        <v>2500</v>
      </c>
      <c r="AD18" s="105">
        <v>44813</v>
      </c>
      <c r="AE18" s="106">
        <v>2500</v>
      </c>
      <c r="AF18" s="105">
        <v>44844</v>
      </c>
      <c r="AG18" s="106">
        <v>2500</v>
      </c>
      <c r="AH18" s="105">
        <v>44868</v>
      </c>
      <c r="AI18" s="106">
        <v>2500</v>
      </c>
      <c r="AJ18" s="105">
        <v>44900</v>
      </c>
      <c r="AK18" s="106">
        <v>2500</v>
      </c>
    </row>
    <row r="19" spans="1:37" s="1" customFormat="1" x14ac:dyDescent="0.25">
      <c r="A19" s="119">
        <v>9</v>
      </c>
      <c r="B19" s="25" t="s">
        <v>265</v>
      </c>
      <c r="C19" s="25" t="s">
        <v>268</v>
      </c>
      <c r="D19" s="26" t="s">
        <v>181</v>
      </c>
      <c r="E19" s="26" t="s">
        <v>181</v>
      </c>
      <c r="F19" s="26">
        <v>44013</v>
      </c>
      <c r="G19" s="78"/>
      <c r="H19" s="78" t="s">
        <v>181</v>
      </c>
      <c r="I19" s="27">
        <v>2253.75</v>
      </c>
      <c r="J19" s="27" t="s">
        <v>111</v>
      </c>
      <c r="K19" s="27" t="s">
        <v>267</v>
      </c>
      <c r="L19" s="25" t="s">
        <v>78</v>
      </c>
      <c r="M19" s="25" t="s">
        <v>154</v>
      </c>
      <c r="N19" s="105">
        <v>44574</v>
      </c>
      <c r="O19" s="106">
        <v>1153.8599999999999</v>
      </c>
      <c r="P19" s="105">
        <v>44602</v>
      </c>
      <c r="Q19" s="106">
        <v>1153.8599999999999</v>
      </c>
      <c r="R19" s="105">
        <v>44638</v>
      </c>
      <c r="S19" s="106">
        <v>1153.8599999999999</v>
      </c>
      <c r="T19" s="105">
        <v>44671</v>
      </c>
      <c r="U19" s="106">
        <v>1153.8599999999999</v>
      </c>
      <c r="V19" s="105">
        <v>44698</v>
      </c>
      <c r="W19" s="106">
        <v>1153.8599999999999</v>
      </c>
      <c r="X19" s="105">
        <v>44730</v>
      </c>
      <c r="Y19" s="106">
        <v>1153.8599999999999</v>
      </c>
      <c r="Z19" s="105">
        <v>44760</v>
      </c>
      <c r="AA19" s="106">
        <v>1153.8599999999999</v>
      </c>
      <c r="AB19" s="105">
        <v>44792</v>
      </c>
      <c r="AC19" s="106">
        <v>1400.89</v>
      </c>
      <c r="AD19" s="105">
        <v>44816</v>
      </c>
      <c r="AE19" s="106">
        <v>1277.3800000000001</v>
      </c>
      <c r="AF19" s="105">
        <v>44847</v>
      </c>
      <c r="AG19" s="106">
        <v>1277.3800000000001</v>
      </c>
      <c r="AH19" s="105">
        <v>44875</v>
      </c>
      <c r="AI19" s="106">
        <v>1277.3800000000001</v>
      </c>
      <c r="AJ19" s="105">
        <v>44904</v>
      </c>
      <c r="AK19" s="106">
        <v>1277.3800000000001</v>
      </c>
    </row>
    <row r="20" spans="1:37" s="1" customFormat="1" x14ac:dyDescent="0.25">
      <c r="A20" s="25">
        <v>10</v>
      </c>
      <c r="B20" s="2" t="s">
        <v>95</v>
      </c>
      <c r="C20" s="2" t="s">
        <v>96</v>
      </c>
      <c r="D20" s="3">
        <v>41459</v>
      </c>
      <c r="E20" s="26" t="s">
        <v>181</v>
      </c>
      <c r="F20" s="3" t="s">
        <v>6</v>
      </c>
      <c r="G20" s="2" t="s">
        <v>6</v>
      </c>
      <c r="H20" s="2" t="s">
        <v>181</v>
      </c>
      <c r="I20" s="4">
        <v>260</v>
      </c>
      <c r="J20" s="4" t="s">
        <v>147</v>
      </c>
      <c r="K20" s="4" t="s">
        <v>193</v>
      </c>
      <c r="L20" s="2" t="s">
        <v>78</v>
      </c>
      <c r="M20" s="68" t="s">
        <v>215</v>
      </c>
      <c r="N20" s="105">
        <v>44578</v>
      </c>
      <c r="O20" s="106">
        <v>1080</v>
      </c>
      <c r="P20" s="105">
        <v>44613</v>
      </c>
      <c r="Q20" s="106">
        <v>270</v>
      </c>
      <c r="R20" s="105">
        <v>44637</v>
      </c>
      <c r="S20" s="106">
        <v>270</v>
      </c>
      <c r="T20" s="105">
        <v>44671</v>
      </c>
      <c r="U20" s="106">
        <v>270</v>
      </c>
      <c r="V20" s="105">
        <v>44742</v>
      </c>
      <c r="W20" s="106">
        <v>270</v>
      </c>
      <c r="X20" s="105" t="s">
        <v>278</v>
      </c>
      <c r="Y20" s="106" t="s">
        <v>309</v>
      </c>
      <c r="Z20" s="105" t="s">
        <v>278</v>
      </c>
      <c r="AA20" s="106" t="s">
        <v>309</v>
      </c>
      <c r="AB20" s="105">
        <v>44782</v>
      </c>
      <c r="AC20" s="106">
        <v>1020</v>
      </c>
      <c r="AD20" s="105" t="s">
        <v>278</v>
      </c>
      <c r="AE20" s="106" t="s">
        <v>309</v>
      </c>
      <c r="AF20" s="105">
        <v>44848</v>
      </c>
      <c r="AG20" s="106">
        <f>340*2</f>
        <v>680</v>
      </c>
      <c r="AH20" s="105">
        <v>44869</v>
      </c>
      <c r="AI20" s="106">
        <v>680</v>
      </c>
      <c r="AJ20" s="105">
        <v>44902</v>
      </c>
      <c r="AK20" s="106">
        <v>680</v>
      </c>
    </row>
    <row r="21" spans="1:37" s="1" customFormat="1" x14ac:dyDescent="0.25">
      <c r="A21" s="119">
        <v>11</v>
      </c>
      <c r="B21" s="2" t="s">
        <v>150</v>
      </c>
      <c r="C21" s="2" t="s">
        <v>151</v>
      </c>
      <c r="D21" s="3">
        <v>43060</v>
      </c>
      <c r="E21" s="26" t="s">
        <v>181</v>
      </c>
      <c r="F21" s="3" t="s">
        <v>28</v>
      </c>
      <c r="G21" s="2" t="s">
        <v>217</v>
      </c>
      <c r="H21" s="2" t="s">
        <v>15</v>
      </c>
      <c r="I21" s="4">
        <v>4500</v>
      </c>
      <c r="J21" s="27" t="s">
        <v>110</v>
      </c>
      <c r="K21" s="27" t="s">
        <v>194</v>
      </c>
      <c r="L21" s="2" t="s">
        <v>78</v>
      </c>
      <c r="M21" s="2"/>
      <c r="N21" s="105">
        <v>44574</v>
      </c>
      <c r="O21" s="103">
        <v>4500</v>
      </c>
      <c r="P21" s="105">
        <v>44606</v>
      </c>
      <c r="Q21" s="106">
        <v>4500</v>
      </c>
      <c r="R21" s="105">
        <v>44633</v>
      </c>
      <c r="S21" s="106">
        <v>7000</v>
      </c>
      <c r="T21" s="105">
        <v>44664</v>
      </c>
      <c r="U21" s="106">
        <v>7000</v>
      </c>
      <c r="V21" s="105">
        <v>44693</v>
      </c>
      <c r="W21" s="106">
        <v>7000</v>
      </c>
      <c r="X21" s="105">
        <v>44727</v>
      </c>
      <c r="Y21" s="106">
        <v>7000</v>
      </c>
      <c r="Z21" s="105">
        <v>44747</v>
      </c>
      <c r="AA21" s="106">
        <v>7000</v>
      </c>
      <c r="AB21" s="105">
        <v>44775</v>
      </c>
      <c r="AC21" s="106">
        <v>7000</v>
      </c>
      <c r="AD21" s="105">
        <v>44813</v>
      </c>
      <c r="AE21" s="106">
        <v>7000</v>
      </c>
      <c r="AF21" s="105">
        <v>44838</v>
      </c>
      <c r="AG21" s="106">
        <v>7000</v>
      </c>
      <c r="AH21" s="105">
        <v>44866</v>
      </c>
      <c r="AI21" s="106">
        <v>7000</v>
      </c>
      <c r="AJ21" s="105">
        <v>44897</v>
      </c>
      <c r="AK21" s="106">
        <v>7000</v>
      </c>
    </row>
    <row r="22" spans="1:37" s="1" customFormat="1" x14ac:dyDescent="0.25">
      <c r="A22" s="25">
        <v>12</v>
      </c>
      <c r="B22" s="2" t="s">
        <v>310</v>
      </c>
      <c r="C22" s="2" t="s">
        <v>159</v>
      </c>
      <c r="D22" s="3" t="s">
        <v>181</v>
      </c>
      <c r="E22" s="26" t="s">
        <v>181</v>
      </c>
      <c r="F22" s="3" t="s">
        <v>181</v>
      </c>
      <c r="G22" s="2" t="s">
        <v>181</v>
      </c>
      <c r="H22" s="2" t="s">
        <v>181</v>
      </c>
      <c r="I22" s="4">
        <v>1132.8499999999999</v>
      </c>
      <c r="J22" s="27" t="s">
        <v>140</v>
      </c>
      <c r="K22" s="27" t="s">
        <v>185</v>
      </c>
      <c r="L22" s="2" t="s">
        <v>78</v>
      </c>
      <c r="M22" s="2"/>
      <c r="N22" s="105">
        <v>44568</v>
      </c>
      <c r="O22" s="103">
        <f>1365.11+285.19</f>
        <v>1650.3</v>
      </c>
      <c r="P22" s="105">
        <v>44596</v>
      </c>
      <c r="Q22" s="103">
        <f>1365.11+285.19</f>
        <v>1650.3</v>
      </c>
      <c r="R22" s="105">
        <v>44627</v>
      </c>
      <c r="S22" s="106">
        <f>1365.11+285.19</f>
        <v>1650.3</v>
      </c>
      <c r="T22" s="105">
        <v>44664</v>
      </c>
      <c r="U22" s="106">
        <f>285.19+1365.11</f>
        <v>1650.3</v>
      </c>
      <c r="V22" s="105">
        <v>44694</v>
      </c>
      <c r="W22" s="106">
        <f>1597.06+53.24</f>
        <v>1650.3</v>
      </c>
      <c r="X22" s="105">
        <v>44720</v>
      </c>
      <c r="Y22" s="106">
        <f>1597.06+53.24</f>
        <v>1650.3</v>
      </c>
      <c r="Z22" s="105">
        <v>44756</v>
      </c>
      <c r="AA22" s="106">
        <f>1767.92+58.93</f>
        <v>1826.8500000000001</v>
      </c>
      <c r="AB22" s="105">
        <v>44784</v>
      </c>
      <c r="AC22" s="106">
        <f>1767.92+58.93</f>
        <v>1826.8500000000001</v>
      </c>
      <c r="AD22" s="105">
        <v>44813</v>
      </c>
      <c r="AE22" s="106">
        <f>58.93+1767.92</f>
        <v>1826.8500000000001</v>
      </c>
      <c r="AF22" s="105">
        <v>44844</v>
      </c>
      <c r="AG22" s="106">
        <f>1767.92+58.93</f>
        <v>1826.8500000000001</v>
      </c>
      <c r="AH22" s="105">
        <v>44874</v>
      </c>
      <c r="AI22" s="106">
        <f>1767.92+58.93</f>
        <v>1826.8500000000001</v>
      </c>
      <c r="AJ22" s="105">
        <v>44902</v>
      </c>
      <c r="AK22" s="106">
        <f>1767.92+58.93</f>
        <v>1826.8500000000001</v>
      </c>
    </row>
    <row r="23" spans="1:37" s="1" customFormat="1" x14ac:dyDescent="0.25">
      <c r="A23" s="119">
        <v>13</v>
      </c>
      <c r="B23" s="2" t="s">
        <v>37</v>
      </c>
      <c r="C23" s="2" t="s">
        <v>172</v>
      </c>
      <c r="D23" s="3">
        <v>34719</v>
      </c>
      <c r="E23" s="115" t="s">
        <v>273</v>
      </c>
      <c r="F23" s="3"/>
      <c r="G23" s="68" t="s">
        <v>277</v>
      </c>
      <c r="H23" s="2"/>
      <c r="I23" s="4" t="s">
        <v>139</v>
      </c>
      <c r="J23" s="4" t="s">
        <v>170</v>
      </c>
      <c r="K23" s="4" t="s">
        <v>195</v>
      </c>
      <c r="L23" s="2" t="s">
        <v>78</v>
      </c>
      <c r="M23" s="2"/>
      <c r="N23" s="105"/>
      <c r="O23" s="106"/>
      <c r="P23" s="105"/>
      <c r="Q23" s="106"/>
      <c r="R23" s="105"/>
      <c r="S23" s="106"/>
      <c r="T23" s="105"/>
      <c r="U23" s="106"/>
      <c r="V23" s="105"/>
      <c r="W23" s="106"/>
      <c r="X23" s="105"/>
      <c r="Y23" s="106"/>
      <c r="Z23" s="105"/>
      <c r="AA23" s="106"/>
      <c r="AB23" s="105"/>
      <c r="AC23" s="106"/>
      <c r="AD23" s="105"/>
      <c r="AE23" s="106"/>
      <c r="AF23" s="105"/>
      <c r="AG23" s="106"/>
      <c r="AH23" s="105"/>
      <c r="AI23" s="106"/>
      <c r="AJ23" s="105"/>
      <c r="AK23" s="106"/>
    </row>
    <row r="24" spans="1:37" s="1" customFormat="1" x14ac:dyDescent="0.25">
      <c r="A24" s="25">
        <v>14</v>
      </c>
      <c r="B24" s="2" t="s">
        <v>38</v>
      </c>
      <c r="C24" s="2" t="s">
        <v>180</v>
      </c>
      <c r="D24" s="3" t="s">
        <v>181</v>
      </c>
      <c r="E24" s="3" t="s">
        <v>181</v>
      </c>
      <c r="F24" s="3" t="s">
        <v>181</v>
      </c>
      <c r="G24" s="68" t="s">
        <v>277</v>
      </c>
      <c r="H24" s="2"/>
      <c r="I24" s="4" t="s">
        <v>139</v>
      </c>
      <c r="J24" s="4" t="s">
        <v>170</v>
      </c>
      <c r="K24" s="4" t="s">
        <v>198</v>
      </c>
      <c r="L24" s="2" t="s">
        <v>78</v>
      </c>
      <c r="M24" s="2"/>
      <c r="N24" s="105"/>
      <c r="O24" s="106"/>
      <c r="P24" s="105"/>
      <c r="Q24" s="106"/>
      <c r="R24" s="105"/>
      <c r="S24" s="106"/>
      <c r="T24" s="105"/>
      <c r="U24" s="106"/>
      <c r="V24" s="105"/>
      <c r="W24" s="106"/>
      <c r="X24" s="105"/>
      <c r="Y24" s="106"/>
      <c r="Z24" s="105"/>
      <c r="AA24" s="106"/>
      <c r="AB24" s="105"/>
      <c r="AC24" s="106"/>
      <c r="AD24" s="105"/>
      <c r="AE24" s="106"/>
      <c r="AF24" s="105"/>
      <c r="AG24" s="106"/>
      <c r="AH24" s="105"/>
      <c r="AI24" s="106"/>
      <c r="AJ24" s="105"/>
      <c r="AK24" s="106"/>
    </row>
    <row r="25" spans="1:37" s="1" customFormat="1" x14ac:dyDescent="0.25">
      <c r="A25" s="119">
        <v>15</v>
      </c>
      <c r="B25" s="2" t="s">
        <v>176</v>
      </c>
      <c r="C25" s="2" t="s">
        <v>179</v>
      </c>
      <c r="D25" s="3" t="s">
        <v>181</v>
      </c>
      <c r="E25" s="3" t="s">
        <v>181</v>
      </c>
      <c r="F25" s="3" t="s">
        <v>181</v>
      </c>
      <c r="G25" s="2" t="s">
        <v>181</v>
      </c>
      <c r="H25" s="2" t="s">
        <v>181</v>
      </c>
      <c r="I25" s="4" t="s">
        <v>139</v>
      </c>
      <c r="J25" s="4" t="s">
        <v>170</v>
      </c>
      <c r="K25" s="4" t="s">
        <v>197</v>
      </c>
      <c r="L25" s="2" t="s">
        <v>78</v>
      </c>
      <c r="M25" s="2"/>
      <c r="N25" s="105">
        <v>44580</v>
      </c>
      <c r="O25" s="106">
        <v>854.39</v>
      </c>
      <c r="P25" s="105">
        <v>44609</v>
      </c>
      <c r="Q25" s="106">
        <v>921.84</v>
      </c>
      <c r="R25" s="105">
        <v>44636</v>
      </c>
      <c r="S25" s="106">
        <v>924.94</v>
      </c>
      <c r="T25" s="105">
        <v>44670</v>
      </c>
      <c r="U25" s="106">
        <v>922.49</v>
      </c>
      <c r="V25" s="105">
        <v>44698</v>
      </c>
      <c r="W25" s="106">
        <v>843.99</v>
      </c>
      <c r="X25" s="105">
        <v>44727</v>
      </c>
      <c r="Y25" s="106">
        <v>1022.84</v>
      </c>
      <c r="Z25" s="105">
        <v>44757</v>
      </c>
      <c r="AA25" s="106">
        <v>913.76</v>
      </c>
      <c r="AB25" s="105">
        <v>44789</v>
      </c>
      <c r="AC25" s="106">
        <v>1037.49</v>
      </c>
      <c r="AD25" s="105">
        <v>44819</v>
      </c>
      <c r="AE25" s="106">
        <v>1118.3</v>
      </c>
      <c r="AF25" s="105">
        <v>44851</v>
      </c>
      <c r="AG25" s="106">
        <v>928.4</v>
      </c>
      <c r="AH25" s="105">
        <v>44882</v>
      </c>
      <c r="AI25" s="106">
        <v>899.14</v>
      </c>
      <c r="AJ25" s="105">
        <v>44911</v>
      </c>
      <c r="AK25" s="106">
        <v>1115.6300000000001</v>
      </c>
    </row>
    <row r="26" spans="1:37" s="1" customFormat="1" x14ac:dyDescent="0.25">
      <c r="A26" s="25">
        <v>16</v>
      </c>
      <c r="B26" s="2" t="s">
        <v>177</v>
      </c>
      <c r="C26" s="2" t="s">
        <v>178</v>
      </c>
      <c r="D26" s="3" t="s">
        <v>181</v>
      </c>
      <c r="E26" s="3" t="s">
        <v>181</v>
      </c>
      <c r="F26" s="3" t="s">
        <v>181</v>
      </c>
      <c r="G26" s="2" t="s">
        <v>181</v>
      </c>
      <c r="H26" s="2" t="s">
        <v>181</v>
      </c>
      <c r="I26" s="4" t="s">
        <v>139</v>
      </c>
      <c r="J26" s="4" t="s">
        <v>170</v>
      </c>
      <c r="K26" s="4" t="s">
        <v>197</v>
      </c>
      <c r="L26" s="2" t="s">
        <v>78</v>
      </c>
      <c r="M26" s="2"/>
      <c r="N26" s="105">
        <v>44580</v>
      </c>
      <c r="O26" s="106">
        <v>129.09</v>
      </c>
      <c r="P26" s="105">
        <v>44608</v>
      </c>
      <c r="Q26" s="106">
        <v>112.99</v>
      </c>
      <c r="R26" s="105">
        <v>44636</v>
      </c>
      <c r="S26" s="106">
        <v>119.63</v>
      </c>
      <c r="T26" s="105">
        <v>44670</v>
      </c>
      <c r="U26" s="106">
        <v>150.51</v>
      </c>
      <c r="V26" s="105">
        <v>44698</v>
      </c>
      <c r="W26" s="106">
        <v>133.65</v>
      </c>
      <c r="X26" s="105">
        <v>44727</v>
      </c>
      <c r="Y26" s="106">
        <v>138.58000000000001</v>
      </c>
      <c r="Z26" s="105">
        <v>44757</v>
      </c>
      <c r="AA26" s="106">
        <v>177.34</v>
      </c>
      <c r="AB26" s="105">
        <v>44789</v>
      </c>
      <c r="AC26" s="106">
        <v>203.78</v>
      </c>
      <c r="AD26" s="105">
        <v>44819</v>
      </c>
      <c r="AE26" s="106">
        <v>141.79</v>
      </c>
      <c r="AF26" s="105">
        <v>44851</v>
      </c>
      <c r="AG26" s="106">
        <v>168.46</v>
      </c>
      <c r="AH26" s="105">
        <v>44882</v>
      </c>
      <c r="AI26" s="106">
        <v>135.28</v>
      </c>
      <c r="AJ26" s="105">
        <v>44911</v>
      </c>
      <c r="AK26" s="106">
        <v>163.16999999999999</v>
      </c>
    </row>
    <row r="27" spans="1:37" s="1" customFormat="1" x14ac:dyDescent="0.25">
      <c r="A27" s="119">
        <v>17</v>
      </c>
      <c r="B27" s="2" t="s">
        <v>167</v>
      </c>
      <c r="C27" s="2" t="s">
        <v>182</v>
      </c>
      <c r="D27" s="3" t="s">
        <v>181</v>
      </c>
      <c r="E27" s="3" t="s">
        <v>181</v>
      </c>
      <c r="F27" s="3" t="s">
        <v>181</v>
      </c>
      <c r="G27" s="2" t="s">
        <v>181</v>
      </c>
      <c r="H27" s="2" t="s">
        <v>181</v>
      </c>
      <c r="I27" s="4" t="s">
        <v>139</v>
      </c>
      <c r="J27" s="4" t="s">
        <v>170</v>
      </c>
      <c r="K27" s="4" t="s">
        <v>196</v>
      </c>
      <c r="L27" s="2" t="s">
        <v>78</v>
      </c>
      <c r="M27" s="2"/>
      <c r="N27" s="105">
        <v>44565</v>
      </c>
      <c r="O27" s="106">
        <v>1673.12</v>
      </c>
      <c r="P27" s="105">
        <v>44596</v>
      </c>
      <c r="Q27" s="106">
        <v>1708.24</v>
      </c>
      <c r="R27" s="105">
        <v>44624</v>
      </c>
      <c r="S27" s="106">
        <v>1673.12</v>
      </c>
      <c r="T27" s="105">
        <v>44652</v>
      </c>
      <c r="U27" s="106">
        <v>1653.06</v>
      </c>
      <c r="V27" s="105">
        <v>44684</v>
      </c>
      <c r="W27" s="106">
        <v>1620.47</v>
      </c>
      <c r="X27" s="105">
        <v>44713</v>
      </c>
      <c r="Y27" s="106">
        <v>1597.9</v>
      </c>
      <c r="Z27" s="105">
        <v>44743</v>
      </c>
      <c r="AA27" s="106">
        <v>1717.98</v>
      </c>
      <c r="AB27" s="105">
        <v>44776</v>
      </c>
      <c r="AC27" s="106">
        <v>1672.98</v>
      </c>
      <c r="AD27" s="105">
        <v>44806</v>
      </c>
      <c r="AE27" s="106">
        <v>1694.87</v>
      </c>
      <c r="AF27" s="105">
        <v>44838</v>
      </c>
      <c r="AG27" s="106">
        <v>1679.27</v>
      </c>
      <c r="AH27" s="105">
        <v>44868</v>
      </c>
      <c r="AI27" s="106">
        <v>1675.06</v>
      </c>
      <c r="AJ27" s="105">
        <v>44904</v>
      </c>
      <c r="AK27" s="106">
        <v>1851.04</v>
      </c>
    </row>
    <row r="28" spans="1:37" s="1" customFormat="1" x14ac:dyDescent="0.25">
      <c r="A28" s="25">
        <v>18</v>
      </c>
      <c r="B28" s="2" t="s">
        <v>234</v>
      </c>
      <c r="C28" s="2" t="s">
        <v>200</v>
      </c>
      <c r="D28" s="3" t="s">
        <v>181</v>
      </c>
      <c r="E28" s="3" t="s">
        <v>181</v>
      </c>
      <c r="F28" s="3" t="s">
        <v>181</v>
      </c>
      <c r="G28" s="2" t="s">
        <v>181</v>
      </c>
      <c r="H28" s="2" t="s">
        <v>181</v>
      </c>
      <c r="I28" s="4">
        <v>99.9</v>
      </c>
      <c r="J28" s="4" t="s">
        <v>170</v>
      </c>
      <c r="K28" s="4" t="s">
        <v>208</v>
      </c>
      <c r="L28" s="2" t="s">
        <v>78</v>
      </c>
      <c r="M28" s="2"/>
      <c r="N28" s="105">
        <v>44565</v>
      </c>
      <c r="O28" s="103">
        <v>116.59</v>
      </c>
      <c r="P28" s="105">
        <v>44594</v>
      </c>
      <c r="Q28" s="103">
        <v>116.59</v>
      </c>
      <c r="R28" s="105">
        <v>44627</v>
      </c>
      <c r="S28" s="106">
        <v>116.59</v>
      </c>
      <c r="T28" s="105">
        <v>44652</v>
      </c>
      <c r="U28" s="106">
        <v>116.59</v>
      </c>
      <c r="V28" s="105">
        <v>44683</v>
      </c>
      <c r="W28" s="106">
        <v>116.59</v>
      </c>
      <c r="X28" s="105">
        <v>44713</v>
      </c>
      <c r="Y28" s="106">
        <v>116.59</v>
      </c>
      <c r="Z28" s="105">
        <v>44743</v>
      </c>
      <c r="AA28" s="106">
        <v>116.59</v>
      </c>
      <c r="AB28" s="105">
        <v>44774</v>
      </c>
      <c r="AC28" s="106">
        <v>116.59</v>
      </c>
      <c r="AD28" s="105">
        <v>44811</v>
      </c>
      <c r="AE28" s="106">
        <v>116.59</v>
      </c>
      <c r="AF28" s="105">
        <v>44844</v>
      </c>
      <c r="AG28" s="106">
        <v>119.05</v>
      </c>
      <c r="AH28" s="105">
        <v>44868</v>
      </c>
      <c r="AI28" s="106">
        <v>73.84</v>
      </c>
      <c r="AJ28" s="105">
        <v>44896</v>
      </c>
      <c r="AK28" s="106">
        <v>119.83</v>
      </c>
    </row>
    <row r="29" spans="1:37" s="1" customFormat="1" x14ac:dyDescent="0.25">
      <c r="A29" s="119">
        <v>19</v>
      </c>
      <c r="B29" s="2" t="s">
        <v>281</v>
      </c>
      <c r="C29" s="2" t="s">
        <v>280</v>
      </c>
      <c r="D29" s="3" t="s">
        <v>181</v>
      </c>
      <c r="E29" s="3" t="s">
        <v>181</v>
      </c>
      <c r="F29" s="3" t="s">
        <v>181</v>
      </c>
      <c r="G29" s="2" t="s">
        <v>181</v>
      </c>
      <c r="H29" s="2" t="s">
        <v>181</v>
      </c>
      <c r="I29" s="4">
        <v>119.9</v>
      </c>
      <c r="J29" s="4" t="s">
        <v>170</v>
      </c>
      <c r="K29" s="4" t="s">
        <v>208</v>
      </c>
      <c r="L29" s="2" t="s">
        <v>78</v>
      </c>
      <c r="M29" s="2"/>
      <c r="N29" s="105">
        <v>44565</v>
      </c>
      <c r="O29" s="103">
        <v>140.79</v>
      </c>
      <c r="P29" s="105">
        <v>44594</v>
      </c>
      <c r="Q29" s="103">
        <v>140.79</v>
      </c>
      <c r="R29" s="105">
        <v>44627</v>
      </c>
      <c r="S29" s="106">
        <v>140.79</v>
      </c>
      <c r="T29" s="105">
        <v>44652</v>
      </c>
      <c r="U29" s="106">
        <v>140.79</v>
      </c>
      <c r="V29" s="105">
        <v>44683</v>
      </c>
      <c r="W29" s="106">
        <v>140.79</v>
      </c>
      <c r="X29" s="105">
        <v>44714</v>
      </c>
      <c r="Y29" s="106">
        <v>140.79</v>
      </c>
      <c r="Z29" s="105">
        <v>44743</v>
      </c>
      <c r="AA29" s="106">
        <v>140.79</v>
      </c>
      <c r="AB29" s="105">
        <v>44774</v>
      </c>
      <c r="AC29" s="106">
        <v>144.13999999999999</v>
      </c>
      <c r="AD29" s="105">
        <v>44811</v>
      </c>
      <c r="AE29" s="106">
        <v>140.79</v>
      </c>
      <c r="AF29" s="105">
        <v>44844</v>
      </c>
      <c r="AG29" s="106">
        <v>143.16</v>
      </c>
      <c r="AH29" s="105">
        <v>44868</v>
      </c>
      <c r="AI29" s="106">
        <v>89.17</v>
      </c>
      <c r="AJ29" s="105">
        <v>44896</v>
      </c>
      <c r="AK29" s="106">
        <v>123.81</v>
      </c>
    </row>
    <row r="30" spans="1:37" s="1" customFormat="1" x14ac:dyDescent="0.25">
      <c r="A30" s="25">
        <v>20</v>
      </c>
      <c r="B30" s="2" t="s">
        <v>282</v>
      </c>
      <c r="C30" s="2" t="s">
        <v>279</v>
      </c>
      <c r="D30" s="3"/>
      <c r="E30" s="3"/>
      <c r="F30" s="3"/>
      <c r="G30" s="23"/>
      <c r="H30" s="23"/>
      <c r="I30" s="4">
        <v>119.9</v>
      </c>
      <c r="J30" s="4" t="s">
        <v>170</v>
      </c>
      <c r="K30" s="4" t="s">
        <v>208</v>
      </c>
      <c r="L30" s="2" t="s">
        <v>78</v>
      </c>
      <c r="M30" s="2"/>
      <c r="N30" s="105">
        <v>44585</v>
      </c>
      <c r="O30" s="106">
        <v>119.95</v>
      </c>
      <c r="P30" s="105">
        <v>44614</v>
      </c>
      <c r="Q30" s="106">
        <v>119.95</v>
      </c>
      <c r="R30" s="105">
        <v>44643</v>
      </c>
      <c r="S30" s="106">
        <v>119.95</v>
      </c>
      <c r="T30" s="105">
        <v>44673</v>
      </c>
      <c r="U30" s="106">
        <v>119.95</v>
      </c>
      <c r="V30" s="105">
        <v>44705</v>
      </c>
      <c r="W30" s="106">
        <v>119.95</v>
      </c>
      <c r="X30" s="105">
        <v>44714</v>
      </c>
      <c r="Y30" s="106">
        <v>119.95</v>
      </c>
      <c r="Z30" s="105">
        <v>44752</v>
      </c>
      <c r="AA30" s="106">
        <v>119.95</v>
      </c>
      <c r="AB30" s="105">
        <v>44774</v>
      </c>
      <c r="AC30" s="106">
        <v>127.94</v>
      </c>
      <c r="AD30" s="105">
        <v>44805</v>
      </c>
      <c r="AE30" s="106">
        <v>139.91999999999999</v>
      </c>
      <c r="AF30" s="105">
        <v>44838</v>
      </c>
      <c r="AG30" s="106">
        <v>139.91999999999999</v>
      </c>
      <c r="AH30" s="105">
        <v>44868</v>
      </c>
      <c r="AI30" s="106">
        <v>138.56</v>
      </c>
      <c r="AJ30" s="105">
        <v>44896</v>
      </c>
      <c r="AK30" s="106">
        <v>119.83</v>
      </c>
    </row>
    <row r="31" spans="1:37" s="1" customFormat="1" x14ac:dyDescent="0.25">
      <c r="A31" s="25">
        <v>21</v>
      </c>
      <c r="B31" s="2" t="s">
        <v>297</v>
      </c>
      <c r="C31" s="2" t="s">
        <v>298</v>
      </c>
      <c r="D31" s="3">
        <v>44676</v>
      </c>
      <c r="E31" s="3"/>
      <c r="F31" s="3" t="s">
        <v>6</v>
      </c>
      <c r="G31" s="23" t="s">
        <v>89</v>
      </c>
      <c r="H31" s="23" t="s">
        <v>181</v>
      </c>
      <c r="I31" s="4" t="s">
        <v>139</v>
      </c>
      <c r="J31" s="4" t="s">
        <v>170</v>
      </c>
      <c r="K31" s="4" t="s">
        <v>299</v>
      </c>
      <c r="L31" s="2" t="s">
        <v>78</v>
      </c>
      <c r="M31" s="2"/>
      <c r="N31" s="105" t="s">
        <v>181</v>
      </c>
      <c r="O31" s="106" t="s">
        <v>181</v>
      </c>
      <c r="P31" s="105" t="s">
        <v>181</v>
      </c>
      <c r="Q31" s="106" t="s">
        <v>181</v>
      </c>
      <c r="R31" s="105" t="s">
        <v>181</v>
      </c>
      <c r="S31" s="106" t="s">
        <v>181</v>
      </c>
      <c r="T31" s="105">
        <v>44679</v>
      </c>
      <c r="U31" s="106">
        <v>1760</v>
      </c>
      <c r="V31" s="105">
        <v>44712</v>
      </c>
      <c r="W31" s="106">
        <v>2080</v>
      </c>
      <c r="X31" s="105">
        <v>44741</v>
      </c>
      <c r="Y31" s="106">
        <v>2080</v>
      </c>
      <c r="Z31" s="105">
        <v>44769</v>
      </c>
      <c r="AA31" s="106">
        <v>2080</v>
      </c>
      <c r="AB31" s="105">
        <v>44799</v>
      </c>
      <c r="AC31" s="106">
        <f>19*130</f>
        <v>2470</v>
      </c>
      <c r="AD31" s="105">
        <v>44833</v>
      </c>
      <c r="AE31" s="106">
        <v>2860</v>
      </c>
      <c r="AF31" s="105">
        <v>44865</v>
      </c>
      <c r="AG31" s="106">
        <v>2080</v>
      </c>
      <c r="AH31" s="105">
        <v>44895</v>
      </c>
      <c r="AI31" s="106">
        <v>2080</v>
      </c>
      <c r="AJ31" s="105">
        <v>44924</v>
      </c>
      <c r="AK31" s="106">
        <v>2080</v>
      </c>
    </row>
    <row r="32" spans="1:37" s="1" customFormat="1" x14ac:dyDescent="0.25">
      <c r="A32" s="25">
        <v>22</v>
      </c>
      <c r="B32" s="2" t="s">
        <v>303</v>
      </c>
      <c r="C32" s="2" t="s">
        <v>304</v>
      </c>
      <c r="D32" s="3">
        <v>44771</v>
      </c>
      <c r="E32" s="3" t="s">
        <v>181</v>
      </c>
      <c r="F32" s="3" t="s">
        <v>305</v>
      </c>
      <c r="G32" s="23" t="s">
        <v>306</v>
      </c>
      <c r="H32" s="23" t="s">
        <v>181</v>
      </c>
      <c r="I32" s="4">
        <v>459</v>
      </c>
      <c r="J32" s="4" t="s">
        <v>170</v>
      </c>
      <c r="K32" s="4" t="s">
        <v>307</v>
      </c>
      <c r="L32" s="2" t="s">
        <v>78</v>
      </c>
      <c r="M32" s="2"/>
      <c r="N32" s="105" t="s">
        <v>181</v>
      </c>
      <c r="O32" s="106" t="s">
        <v>181</v>
      </c>
      <c r="P32" s="105" t="s">
        <v>181</v>
      </c>
      <c r="Q32" s="106" t="s">
        <v>181</v>
      </c>
      <c r="R32" s="105" t="s">
        <v>181</v>
      </c>
      <c r="S32" s="106" t="s">
        <v>181</v>
      </c>
      <c r="T32" s="105" t="s">
        <v>181</v>
      </c>
      <c r="U32" s="106" t="s">
        <v>181</v>
      </c>
      <c r="V32" s="105" t="s">
        <v>181</v>
      </c>
      <c r="W32" s="106" t="s">
        <v>181</v>
      </c>
      <c r="X32" s="105" t="s">
        <v>181</v>
      </c>
      <c r="Y32" s="106" t="s">
        <v>181</v>
      </c>
      <c r="Z32" s="105" t="s">
        <v>181</v>
      </c>
      <c r="AA32" s="106" t="s">
        <v>181</v>
      </c>
      <c r="AB32" s="105">
        <v>44777</v>
      </c>
      <c r="AC32" s="106">
        <v>459</v>
      </c>
      <c r="AD32" s="105">
        <v>44806</v>
      </c>
      <c r="AE32" s="106">
        <v>459</v>
      </c>
      <c r="AF32" s="105">
        <v>44838</v>
      </c>
      <c r="AG32" s="106">
        <v>459</v>
      </c>
      <c r="AH32" s="105">
        <v>44868</v>
      </c>
      <c r="AI32" s="106">
        <v>459</v>
      </c>
      <c r="AJ32" s="105">
        <v>44897</v>
      </c>
      <c r="AK32" s="106">
        <v>459</v>
      </c>
    </row>
    <row r="33" spans="1:37" s="1" customFormat="1" ht="15" hidden="1" customHeight="1" x14ac:dyDescent="0.25">
      <c r="A33" s="2"/>
      <c r="B33" s="2" t="s">
        <v>166</v>
      </c>
      <c r="C33" s="2" t="s">
        <v>88</v>
      </c>
      <c r="D33" s="3" t="s">
        <v>181</v>
      </c>
      <c r="E33" s="26" t="s">
        <v>181</v>
      </c>
      <c r="F33" s="3" t="s">
        <v>6</v>
      </c>
      <c r="G33" s="23" t="s">
        <v>89</v>
      </c>
      <c r="H33" s="23"/>
      <c r="I33" s="4">
        <v>297.77</v>
      </c>
      <c r="J33" s="4" t="s">
        <v>170</v>
      </c>
      <c r="K33" s="4" t="s">
        <v>181</v>
      </c>
      <c r="L33" s="2" t="s">
        <v>149</v>
      </c>
      <c r="M33" s="2"/>
      <c r="N33" s="105" t="s">
        <v>181</v>
      </c>
      <c r="O33" s="106" t="s">
        <v>181</v>
      </c>
      <c r="P33" s="105" t="s">
        <v>181</v>
      </c>
      <c r="Q33" s="106" t="s">
        <v>181</v>
      </c>
      <c r="R33" s="105" t="s">
        <v>181</v>
      </c>
      <c r="S33" s="106" t="s">
        <v>181</v>
      </c>
      <c r="T33" s="105" t="s">
        <v>181</v>
      </c>
      <c r="U33" s="106" t="s">
        <v>181</v>
      </c>
      <c r="V33" s="105" t="s">
        <v>181</v>
      </c>
      <c r="W33" s="106" t="s">
        <v>181</v>
      </c>
      <c r="X33" s="105" t="s">
        <v>181</v>
      </c>
      <c r="Y33" s="106" t="s">
        <v>181</v>
      </c>
      <c r="Z33" s="105" t="s">
        <v>181</v>
      </c>
      <c r="AA33" s="106" t="s">
        <v>181</v>
      </c>
      <c r="AB33" s="105" t="s">
        <v>181</v>
      </c>
      <c r="AC33" s="106" t="s">
        <v>181</v>
      </c>
      <c r="AD33" s="105" t="s">
        <v>181</v>
      </c>
      <c r="AE33" s="106" t="s">
        <v>181</v>
      </c>
      <c r="AF33" s="105" t="s">
        <v>181</v>
      </c>
      <c r="AG33" s="106" t="s">
        <v>181</v>
      </c>
      <c r="AH33" s="105" t="s">
        <v>181</v>
      </c>
      <c r="AI33" s="106" t="s">
        <v>181</v>
      </c>
      <c r="AJ33" s="105" t="s">
        <v>181</v>
      </c>
      <c r="AK33" s="106" t="s">
        <v>181</v>
      </c>
    </row>
    <row r="34" spans="1:37" s="1" customFormat="1" ht="15" hidden="1" customHeight="1" x14ac:dyDescent="0.25">
      <c r="A34" s="2"/>
      <c r="B34" s="2" t="s">
        <v>91</v>
      </c>
      <c r="C34" s="2" t="s">
        <v>92</v>
      </c>
      <c r="D34" s="3" t="s">
        <v>181</v>
      </c>
      <c r="E34" s="26" t="s">
        <v>181</v>
      </c>
      <c r="F34" s="3" t="s">
        <v>6</v>
      </c>
      <c r="G34" s="2" t="s">
        <v>89</v>
      </c>
      <c r="H34" s="2"/>
      <c r="I34" s="4">
        <v>722.62</v>
      </c>
      <c r="J34" s="4" t="s">
        <v>165</v>
      </c>
      <c r="K34" s="4" t="s">
        <v>181</v>
      </c>
      <c r="L34" s="2" t="s">
        <v>269</v>
      </c>
      <c r="M34" s="2"/>
      <c r="N34" s="105" t="s">
        <v>181</v>
      </c>
      <c r="O34" s="106" t="s">
        <v>181</v>
      </c>
      <c r="P34" s="105" t="s">
        <v>181</v>
      </c>
      <c r="Q34" s="106" t="s">
        <v>181</v>
      </c>
      <c r="R34" s="105" t="s">
        <v>181</v>
      </c>
      <c r="S34" s="106" t="s">
        <v>181</v>
      </c>
      <c r="T34" s="105" t="s">
        <v>181</v>
      </c>
      <c r="U34" s="106" t="s">
        <v>181</v>
      </c>
      <c r="V34" s="105" t="s">
        <v>181</v>
      </c>
      <c r="W34" s="106" t="s">
        <v>181</v>
      </c>
      <c r="X34" s="105" t="s">
        <v>181</v>
      </c>
      <c r="Y34" s="106" t="s">
        <v>181</v>
      </c>
      <c r="Z34" s="105" t="s">
        <v>181</v>
      </c>
      <c r="AA34" s="106" t="s">
        <v>181</v>
      </c>
      <c r="AB34" s="105" t="s">
        <v>181</v>
      </c>
      <c r="AC34" s="106" t="s">
        <v>181</v>
      </c>
      <c r="AD34" s="105" t="s">
        <v>181</v>
      </c>
      <c r="AE34" s="106" t="s">
        <v>181</v>
      </c>
      <c r="AF34" s="105" t="s">
        <v>181</v>
      </c>
      <c r="AG34" s="106" t="s">
        <v>181</v>
      </c>
      <c r="AH34" s="105" t="s">
        <v>181</v>
      </c>
      <c r="AI34" s="106" t="s">
        <v>181</v>
      </c>
      <c r="AJ34" s="105" t="s">
        <v>181</v>
      </c>
      <c r="AK34" s="106" t="s">
        <v>181</v>
      </c>
    </row>
    <row r="35" spans="1:37" s="1" customFormat="1" hidden="1" x14ac:dyDescent="0.25">
      <c r="A35" s="2"/>
      <c r="B35" s="2" t="s">
        <v>18</v>
      </c>
      <c r="C35" s="2" t="s">
        <v>308</v>
      </c>
      <c r="D35" s="3">
        <v>41609</v>
      </c>
      <c r="E35" s="3"/>
      <c r="F35" s="3" t="s">
        <v>6</v>
      </c>
      <c r="G35" s="2" t="s">
        <v>12</v>
      </c>
      <c r="H35" s="2" t="s">
        <v>7</v>
      </c>
      <c r="I35" s="4">
        <v>1952.22</v>
      </c>
      <c r="J35" s="4"/>
      <c r="K35" s="4"/>
      <c r="L35" s="2" t="s">
        <v>20</v>
      </c>
      <c r="M35" s="2"/>
      <c r="N35" s="105" t="s">
        <v>181</v>
      </c>
      <c r="O35" s="106" t="s">
        <v>181</v>
      </c>
      <c r="P35" s="105" t="s">
        <v>181</v>
      </c>
      <c r="Q35" s="106" t="s">
        <v>181</v>
      </c>
      <c r="R35" s="105" t="s">
        <v>181</v>
      </c>
      <c r="S35" s="106" t="s">
        <v>181</v>
      </c>
      <c r="T35" s="105" t="s">
        <v>181</v>
      </c>
      <c r="U35" s="106" t="s">
        <v>181</v>
      </c>
      <c r="V35" s="105" t="s">
        <v>181</v>
      </c>
      <c r="W35" s="106" t="s">
        <v>181</v>
      </c>
      <c r="X35" s="105" t="s">
        <v>181</v>
      </c>
      <c r="Y35" s="106" t="s">
        <v>181</v>
      </c>
      <c r="Z35" s="105" t="s">
        <v>181</v>
      </c>
      <c r="AA35" s="106" t="s">
        <v>181</v>
      </c>
      <c r="AB35" s="105" t="s">
        <v>181</v>
      </c>
      <c r="AC35" s="106" t="s">
        <v>181</v>
      </c>
      <c r="AD35" s="105" t="s">
        <v>181</v>
      </c>
      <c r="AE35" s="106" t="s">
        <v>181</v>
      </c>
      <c r="AF35" s="105" t="s">
        <v>181</v>
      </c>
      <c r="AG35" s="106" t="s">
        <v>181</v>
      </c>
      <c r="AH35" s="105" t="s">
        <v>181</v>
      </c>
      <c r="AI35" s="106" t="s">
        <v>181</v>
      </c>
      <c r="AJ35" s="105" t="s">
        <v>181</v>
      </c>
      <c r="AK35" s="106" t="s">
        <v>181</v>
      </c>
    </row>
    <row r="36" spans="1:37" s="1" customFormat="1" hidden="1" x14ac:dyDescent="0.25">
      <c r="A36" s="2"/>
      <c r="B36" s="2" t="s">
        <v>17</v>
      </c>
      <c r="C36" s="2" t="s">
        <v>11</v>
      </c>
      <c r="D36" s="3">
        <v>41800</v>
      </c>
      <c r="E36" s="3">
        <v>43231</v>
      </c>
      <c r="F36" s="3" t="s">
        <v>13</v>
      </c>
      <c r="G36" s="25" t="s">
        <v>89</v>
      </c>
      <c r="H36" s="2" t="s">
        <v>15</v>
      </c>
      <c r="I36" s="4">
        <v>1240</v>
      </c>
      <c r="J36" s="27" t="s">
        <v>140</v>
      </c>
      <c r="K36" s="27" t="s">
        <v>187</v>
      </c>
      <c r="L36" s="2" t="s">
        <v>155</v>
      </c>
      <c r="M36" s="2"/>
      <c r="N36" s="105" t="s">
        <v>181</v>
      </c>
      <c r="O36" s="106" t="s">
        <v>181</v>
      </c>
      <c r="P36" s="105" t="s">
        <v>181</v>
      </c>
      <c r="Q36" s="106" t="s">
        <v>181</v>
      </c>
      <c r="R36" s="105" t="s">
        <v>181</v>
      </c>
      <c r="S36" s="106" t="s">
        <v>181</v>
      </c>
      <c r="T36" s="105" t="s">
        <v>181</v>
      </c>
      <c r="U36" s="106" t="s">
        <v>181</v>
      </c>
      <c r="V36" s="105" t="s">
        <v>181</v>
      </c>
      <c r="W36" s="106" t="s">
        <v>181</v>
      </c>
      <c r="X36" s="105" t="s">
        <v>181</v>
      </c>
      <c r="Y36" s="106" t="s">
        <v>181</v>
      </c>
      <c r="Z36" s="105" t="s">
        <v>181</v>
      </c>
      <c r="AA36" s="106" t="s">
        <v>181</v>
      </c>
      <c r="AB36" s="105" t="s">
        <v>181</v>
      </c>
      <c r="AC36" s="106" t="s">
        <v>181</v>
      </c>
      <c r="AD36" s="105" t="s">
        <v>181</v>
      </c>
      <c r="AE36" s="106" t="s">
        <v>181</v>
      </c>
      <c r="AF36" s="105" t="s">
        <v>181</v>
      </c>
      <c r="AG36" s="106" t="s">
        <v>181</v>
      </c>
      <c r="AH36" s="105" t="s">
        <v>181</v>
      </c>
      <c r="AI36" s="106" t="s">
        <v>181</v>
      </c>
      <c r="AJ36" s="105" t="s">
        <v>181</v>
      </c>
      <c r="AK36" s="106" t="s">
        <v>181</v>
      </c>
    </row>
    <row r="37" spans="1:37" s="1" customFormat="1" hidden="1" x14ac:dyDescent="0.25">
      <c r="A37" s="2"/>
      <c r="B37" s="2" t="s">
        <v>16</v>
      </c>
      <c r="C37" s="2" t="s">
        <v>21</v>
      </c>
      <c r="D37" s="3">
        <v>38936</v>
      </c>
      <c r="E37" s="3"/>
      <c r="F37" s="3" t="s">
        <v>13</v>
      </c>
      <c r="G37" s="2" t="s">
        <v>12</v>
      </c>
      <c r="H37" s="2" t="s">
        <v>7</v>
      </c>
      <c r="I37" s="4">
        <v>228</v>
      </c>
      <c r="J37" s="4"/>
      <c r="K37" s="4"/>
      <c r="L37" s="2" t="s">
        <v>100</v>
      </c>
      <c r="M37" s="2"/>
      <c r="N37" s="105" t="s">
        <v>181</v>
      </c>
      <c r="O37" s="106" t="s">
        <v>181</v>
      </c>
      <c r="P37" s="105" t="s">
        <v>181</v>
      </c>
      <c r="Q37" s="106" t="s">
        <v>181</v>
      </c>
      <c r="R37" s="105" t="s">
        <v>181</v>
      </c>
      <c r="S37" s="106" t="s">
        <v>181</v>
      </c>
      <c r="T37" s="105" t="s">
        <v>181</v>
      </c>
      <c r="U37" s="106" t="s">
        <v>181</v>
      </c>
      <c r="V37" s="105" t="s">
        <v>181</v>
      </c>
      <c r="W37" s="106" t="s">
        <v>181</v>
      </c>
      <c r="X37" s="105" t="s">
        <v>181</v>
      </c>
      <c r="Y37" s="106" t="s">
        <v>181</v>
      </c>
      <c r="Z37" s="105" t="s">
        <v>181</v>
      </c>
      <c r="AA37" s="106" t="s">
        <v>181</v>
      </c>
      <c r="AB37" s="105" t="s">
        <v>181</v>
      </c>
      <c r="AC37" s="106" t="s">
        <v>181</v>
      </c>
      <c r="AD37" s="105" t="s">
        <v>181</v>
      </c>
      <c r="AE37" s="106" t="s">
        <v>181</v>
      </c>
      <c r="AF37" s="105" t="s">
        <v>181</v>
      </c>
      <c r="AG37" s="106" t="s">
        <v>181</v>
      </c>
      <c r="AH37" s="105" t="s">
        <v>181</v>
      </c>
      <c r="AI37" s="106" t="s">
        <v>181</v>
      </c>
      <c r="AJ37" s="105" t="s">
        <v>181</v>
      </c>
      <c r="AK37" s="106" t="s">
        <v>181</v>
      </c>
    </row>
    <row r="38" spans="1:37" s="1" customFormat="1" hidden="1" x14ac:dyDescent="0.25">
      <c r="A38" s="2"/>
      <c r="B38" s="2" t="s">
        <v>22</v>
      </c>
      <c r="C38" s="2" t="s">
        <v>23</v>
      </c>
      <c r="D38" s="3">
        <v>2013</v>
      </c>
      <c r="E38" s="3"/>
      <c r="F38" s="3" t="s">
        <v>6</v>
      </c>
      <c r="G38" s="2" t="s">
        <v>6</v>
      </c>
      <c r="H38" s="2" t="s">
        <v>7</v>
      </c>
      <c r="I38" s="4">
        <v>200</v>
      </c>
      <c r="J38" s="4"/>
      <c r="K38" s="4"/>
      <c r="L38" s="2" t="s">
        <v>20</v>
      </c>
      <c r="M38" s="2"/>
      <c r="N38" s="105" t="s">
        <v>181</v>
      </c>
      <c r="O38" s="106" t="s">
        <v>181</v>
      </c>
      <c r="P38" s="105" t="s">
        <v>181</v>
      </c>
      <c r="Q38" s="106" t="s">
        <v>181</v>
      </c>
      <c r="R38" s="105" t="s">
        <v>181</v>
      </c>
      <c r="S38" s="106" t="s">
        <v>181</v>
      </c>
      <c r="T38" s="105" t="s">
        <v>181</v>
      </c>
      <c r="U38" s="106" t="s">
        <v>181</v>
      </c>
      <c r="V38" s="105" t="s">
        <v>181</v>
      </c>
      <c r="W38" s="106" t="s">
        <v>181</v>
      </c>
      <c r="X38" s="105" t="s">
        <v>181</v>
      </c>
      <c r="Y38" s="106" t="s">
        <v>181</v>
      </c>
      <c r="Z38" s="105" t="s">
        <v>181</v>
      </c>
      <c r="AA38" s="106" t="s">
        <v>181</v>
      </c>
      <c r="AB38" s="105" t="s">
        <v>181</v>
      </c>
      <c r="AC38" s="106" t="s">
        <v>181</v>
      </c>
      <c r="AD38" s="105" t="s">
        <v>181</v>
      </c>
      <c r="AE38" s="106" t="s">
        <v>181</v>
      </c>
      <c r="AF38" s="105" t="s">
        <v>181</v>
      </c>
      <c r="AG38" s="106" t="s">
        <v>181</v>
      </c>
      <c r="AH38" s="105" t="s">
        <v>181</v>
      </c>
      <c r="AI38" s="106" t="s">
        <v>181</v>
      </c>
      <c r="AJ38" s="105" t="s">
        <v>181</v>
      </c>
      <c r="AK38" s="106" t="s">
        <v>181</v>
      </c>
    </row>
    <row r="39" spans="1:37" s="1" customFormat="1" hidden="1" x14ac:dyDescent="0.25">
      <c r="A39" s="2"/>
      <c r="B39" s="2" t="s">
        <v>160</v>
      </c>
      <c r="C39" s="2" t="s">
        <v>161</v>
      </c>
      <c r="D39" s="3" t="s">
        <v>181</v>
      </c>
      <c r="E39" s="3" t="s">
        <v>181</v>
      </c>
      <c r="F39" s="3" t="s">
        <v>181</v>
      </c>
      <c r="G39" s="2" t="s">
        <v>181</v>
      </c>
      <c r="H39" s="2" t="s">
        <v>149</v>
      </c>
      <c r="I39" s="4" t="s">
        <v>139</v>
      </c>
      <c r="J39" s="4" t="s">
        <v>170</v>
      </c>
      <c r="K39" s="4" t="s">
        <v>196</v>
      </c>
      <c r="L39" s="2" t="s">
        <v>78</v>
      </c>
      <c r="M39" s="2"/>
      <c r="N39" s="105" t="s">
        <v>181</v>
      </c>
      <c r="O39" s="106" t="s">
        <v>181</v>
      </c>
      <c r="P39" s="105" t="s">
        <v>181</v>
      </c>
      <c r="Q39" s="106" t="s">
        <v>181</v>
      </c>
      <c r="R39" s="105" t="s">
        <v>181</v>
      </c>
      <c r="S39" s="106" t="s">
        <v>181</v>
      </c>
      <c r="T39" s="105" t="s">
        <v>181</v>
      </c>
      <c r="U39" s="106" t="s">
        <v>181</v>
      </c>
      <c r="V39" s="105" t="s">
        <v>181</v>
      </c>
      <c r="W39" s="106" t="s">
        <v>181</v>
      </c>
      <c r="X39" s="105" t="s">
        <v>181</v>
      </c>
      <c r="Y39" s="106" t="s">
        <v>181</v>
      </c>
      <c r="Z39" s="105" t="s">
        <v>181</v>
      </c>
      <c r="AA39" s="106" t="s">
        <v>181</v>
      </c>
      <c r="AB39" s="105" t="s">
        <v>181</v>
      </c>
      <c r="AC39" s="106" t="s">
        <v>181</v>
      </c>
      <c r="AD39" s="105" t="s">
        <v>181</v>
      </c>
      <c r="AE39" s="106" t="s">
        <v>181</v>
      </c>
      <c r="AF39" s="105" t="s">
        <v>181</v>
      </c>
      <c r="AG39" s="106" t="s">
        <v>181</v>
      </c>
      <c r="AH39" s="105" t="s">
        <v>181</v>
      </c>
      <c r="AI39" s="106" t="s">
        <v>181</v>
      </c>
      <c r="AJ39" s="105" t="s">
        <v>181</v>
      </c>
      <c r="AK39" s="106" t="s">
        <v>181</v>
      </c>
    </row>
    <row r="40" spans="1:37" s="1" customFormat="1" hidden="1" x14ac:dyDescent="0.25">
      <c r="A40" s="2"/>
      <c r="B40" s="2" t="s">
        <v>168</v>
      </c>
      <c r="C40" s="2" t="s">
        <v>169</v>
      </c>
      <c r="D40" s="3" t="s">
        <v>181</v>
      </c>
      <c r="E40" s="3" t="s">
        <v>181</v>
      </c>
      <c r="F40" s="3" t="s">
        <v>181</v>
      </c>
      <c r="G40" s="2" t="s">
        <v>181</v>
      </c>
      <c r="H40" s="2" t="s">
        <v>181</v>
      </c>
      <c r="I40" s="4" t="s">
        <v>139</v>
      </c>
      <c r="J40" s="4" t="s">
        <v>170</v>
      </c>
      <c r="K40" s="4" t="s">
        <v>149</v>
      </c>
      <c r="L40" s="2"/>
      <c r="M40" s="2"/>
      <c r="N40" s="105" t="s">
        <v>181</v>
      </c>
      <c r="O40" s="106" t="s">
        <v>181</v>
      </c>
      <c r="P40" s="105" t="s">
        <v>181</v>
      </c>
      <c r="Q40" s="106" t="s">
        <v>181</v>
      </c>
      <c r="R40" s="105" t="s">
        <v>181</v>
      </c>
      <c r="S40" s="106" t="s">
        <v>181</v>
      </c>
      <c r="T40" s="105" t="s">
        <v>181</v>
      </c>
      <c r="U40" s="106" t="s">
        <v>181</v>
      </c>
      <c r="V40" s="105" t="s">
        <v>181</v>
      </c>
      <c r="W40" s="106" t="s">
        <v>181</v>
      </c>
      <c r="X40" s="105" t="s">
        <v>181</v>
      </c>
      <c r="Y40" s="106" t="s">
        <v>181</v>
      </c>
      <c r="Z40" s="105" t="s">
        <v>181</v>
      </c>
      <c r="AA40" s="106" t="s">
        <v>181</v>
      </c>
      <c r="AB40" s="105" t="s">
        <v>181</v>
      </c>
      <c r="AC40" s="106" t="s">
        <v>181</v>
      </c>
      <c r="AD40" s="105" t="s">
        <v>181</v>
      </c>
      <c r="AE40" s="106" t="s">
        <v>181</v>
      </c>
      <c r="AF40" s="105" t="s">
        <v>181</v>
      </c>
      <c r="AG40" s="106" t="s">
        <v>181</v>
      </c>
      <c r="AH40" s="105" t="s">
        <v>181</v>
      </c>
      <c r="AI40" s="106" t="s">
        <v>181</v>
      </c>
      <c r="AJ40" s="105" t="s">
        <v>181</v>
      </c>
      <c r="AK40" s="106" t="s">
        <v>181</v>
      </c>
    </row>
    <row r="41" spans="1:37" s="1" customFormat="1" hidden="1" x14ac:dyDescent="0.25">
      <c r="A41" s="25"/>
      <c r="B41" s="25" t="s">
        <v>26</v>
      </c>
      <c r="C41" s="25" t="s">
        <v>27</v>
      </c>
      <c r="D41" s="27">
        <v>42675</v>
      </c>
      <c r="E41" s="27"/>
      <c r="F41" s="27" t="s">
        <v>28</v>
      </c>
      <c r="G41" s="25" t="s">
        <v>6</v>
      </c>
      <c r="H41" s="42" t="s">
        <v>29</v>
      </c>
      <c r="I41" s="42" t="s">
        <v>149</v>
      </c>
      <c r="J41" s="42" t="s">
        <v>149</v>
      </c>
      <c r="K41" s="42"/>
      <c r="L41" s="42" t="s">
        <v>149</v>
      </c>
      <c r="M41" s="42" t="s">
        <v>149</v>
      </c>
      <c r="N41" s="105" t="s">
        <v>181</v>
      </c>
      <c r="O41" s="106" t="s">
        <v>181</v>
      </c>
      <c r="P41" s="105" t="s">
        <v>181</v>
      </c>
      <c r="Q41" s="106" t="s">
        <v>181</v>
      </c>
      <c r="R41" s="105" t="s">
        <v>181</v>
      </c>
      <c r="S41" s="106" t="s">
        <v>181</v>
      </c>
      <c r="T41" s="105" t="s">
        <v>181</v>
      </c>
      <c r="U41" s="106" t="s">
        <v>181</v>
      </c>
      <c r="V41" s="105" t="s">
        <v>181</v>
      </c>
      <c r="W41" s="106" t="s">
        <v>181</v>
      </c>
      <c r="X41" s="105" t="s">
        <v>181</v>
      </c>
      <c r="Y41" s="106" t="s">
        <v>181</v>
      </c>
      <c r="Z41" s="105" t="s">
        <v>181</v>
      </c>
      <c r="AA41" s="106" t="s">
        <v>181</v>
      </c>
      <c r="AB41" s="105" t="s">
        <v>181</v>
      </c>
      <c r="AC41" s="106" t="s">
        <v>181</v>
      </c>
      <c r="AD41" s="105" t="s">
        <v>181</v>
      </c>
      <c r="AE41" s="106" t="s">
        <v>181</v>
      </c>
      <c r="AF41" s="105" t="s">
        <v>181</v>
      </c>
      <c r="AG41" s="106" t="s">
        <v>181</v>
      </c>
      <c r="AH41" s="105" t="s">
        <v>181</v>
      </c>
      <c r="AI41" s="106" t="s">
        <v>181</v>
      </c>
      <c r="AJ41" s="105" t="s">
        <v>181</v>
      </c>
      <c r="AK41" s="106" t="s">
        <v>181</v>
      </c>
    </row>
    <row r="42" spans="1:37" s="1" customFormat="1" ht="15" hidden="1" customHeight="1" x14ac:dyDescent="0.25">
      <c r="A42" s="2"/>
      <c r="B42" s="2" t="s">
        <v>163</v>
      </c>
      <c r="C42" s="2" t="s">
        <v>162</v>
      </c>
      <c r="D42" s="3" t="s">
        <v>181</v>
      </c>
      <c r="E42" s="3" t="s">
        <v>181</v>
      </c>
      <c r="F42" s="3" t="s">
        <v>181</v>
      </c>
      <c r="G42" s="2" t="s">
        <v>181</v>
      </c>
      <c r="H42" s="2" t="s">
        <v>181</v>
      </c>
      <c r="I42" s="4" t="s">
        <v>139</v>
      </c>
      <c r="J42" s="4" t="s">
        <v>170</v>
      </c>
      <c r="K42" s="4" t="s">
        <v>149</v>
      </c>
      <c r="L42" s="2"/>
      <c r="M42" s="2"/>
      <c r="N42" s="105" t="s">
        <v>181</v>
      </c>
      <c r="O42" s="106" t="s">
        <v>181</v>
      </c>
      <c r="P42" s="105" t="s">
        <v>181</v>
      </c>
      <c r="Q42" s="106" t="s">
        <v>181</v>
      </c>
      <c r="R42" s="105" t="s">
        <v>181</v>
      </c>
      <c r="S42" s="106" t="s">
        <v>181</v>
      </c>
      <c r="T42" s="105" t="s">
        <v>181</v>
      </c>
      <c r="U42" s="106" t="s">
        <v>181</v>
      </c>
      <c r="V42" s="105" t="s">
        <v>181</v>
      </c>
      <c r="W42" s="106" t="s">
        <v>181</v>
      </c>
      <c r="X42" s="105" t="s">
        <v>181</v>
      </c>
      <c r="Y42" s="106" t="s">
        <v>181</v>
      </c>
      <c r="Z42" s="105" t="s">
        <v>181</v>
      </c>
      <c r="AA42" s="106" t="s">
        <v>181</v>
      </c>
      <c r="AB42" s="105" t="s">
        <v>181</v>
      </c>
      <c r="AC42" s="106" t="s">
        <v>181</v>
      </c>
      <c r="AD42" s="105" t="s">
        <v>181</v>
      </c>
      <c r="AE42" s="106" t="s">
        <v>181</v>
      </c>
      <c r="AF42" s="105" t="s">
        <v>181</v>
      </c>
      <c r="AG42" s="106" t="s">
        <v>181</v>
      </c>
      <c r="AH42" s="105" t="s">
        <v>181</v>
      </c>
      <c r="AI42" s="106" t="s">
        <v>181</v>
      </c>
      <c r="AJ42" s="105" t="s">
        <v>181</v>
      </c>
      <c r="AK42" s="106" t="s">
        <v>181</v>
      </c>
    </row>
    <row r="43" spans="1:37" s="1" customFormat="1" hidden="1" x14ac:dyDescent="0.25">
      <c r="A43" s="2"/>
      <c r="B43" s="2" t="s">
        <v>35</v>
      </c>
      <c r="C43" s="2" t="s">
        <v>36</v>
      </c>
      <c r="D43" s="3">
        <v>41620</v>
      </c>
      <c r="E43" s="3"/>
      <c r="F43" s="3" t="s">
        <v>6</v>
      </c>
      <c r="G43" s="2" t="s">
        <v>6</v>
      </c>
      <c r="H43" s="2" t="s">
        <v>7</v>
      </c>
      <c r="I43" s="4">
        <v>134.9</v>
      </c>
      <c r="J43" s="4"/>
      <c r="K43" s="4"/>
      <c r="L43" s="2" t="s">
        <v>20</v>
      </c>
      <c r="M43" s="2"/>
      <c r="N43" s="105" t="s">
        <v>181</v>
      </c>
      <c r="O43" s="106" t="s">
        <v>181</v>
      </c>
      <c r="P43" s="105" t="s">
        <v>181</v>
      </c>
      <c r="Q43" s="106" t="s">
        <v>181</v>
      </c>
      <c r="R43" s="105" t="s">
        <v>181</v>
      </c>
      <c r="S43" s="106" t="s">
        <v>181</v>
      </c>
      <c r="T43" s="105" t="s">
        <v>181</v>
      </c>
      <c r="U43" s="106" t="s">
        <v>181</v>
      </c>
      <c r="V43" s="105" t="s">
        <v>181</v>
      </c>
      <c r="W43" s="106" t="s">
        <v>181</v>
      </c>
      <c r="X43" s="105" t="s">
        <v>181</v>
      </c>
      <c r="Y43" s="106" t="s">
        <v>181</v>
      </c>
      <c r="Z43" s="105" t="s">
        <v>181</v>
      </c>
      <c r="AA43" s="106" t="s">
        <v>181</v>
      </c>
      <c r="AB43" s="105" t="s">
        <v>181</v>
      </c>
      <c r="AC43" s="106" t="s">
        <v>181</v>
      </c>
      <c r="AD43" s="105" t="s">
        <v>181</v>
      </c>
      <c r="AE43" s="106" t="s">
        <v>181</v>
      </c>
      <c r="AF43" s="105" t="s">
        <v>181</v>
      </c>
      <c r="AG43" s="106" t="s">
        <v>181</v>
      </c>
      <c r="AH43" s="105" t="s">
        <v>181</v>
      </c>
      <c r="AI43" s="106" t="s">
        <v>181</v>
      </c>
      <c r="AJ43" s="105" t="s">
        <v>181</v>
      </c>
      <c r="AK43" s="106" t="s">
        <v>181</v>
      </c>
    </row>
    <row r="44" spans="1:37" s="1" customFormat="1" hidden="1" x14ac:dyDescent="0.25">
      <c r="A44" s="2"/>
      <c r="B44" s="2" t="s">
        <v>35</v>
      </c>
      <c r="C44" s="2" t="s">
        <v>40</v>
      </c>
      <c r="D44" s="3">
        <v>41620</v>
      </c>
      <c r="E44" s="3"/>
      <c r="F44" s="3" t="s">
        <v>6</v>
      </c>
      <c r="G44" s="2" t="s">
        <v>6</v>
      </c>
      <c r="H44" s="2" t="s">
        <v>15</v>
      </c>
      <c r="I44" s="4" t="s">
        <v>41</v>
      </c>
      <c r="J44" s="4"/>
      <c r="K44" s="4"/>
      <c r="L44" s="2" t="s">
        <v>20</v>
      </c>
      <c r="M44" s="2"/>
      <c r="N44" s="105" t="s">
        <v>181</v>
      </c>
      <c r="O44" s="106" t="s">
        <v>181</v>
      </c>
      <c r="P44" s="105" t="s">
        <v>181</v>
      </c>
      <c r="Q44" s="106" t="s">
        <v>181</v>
      </c>
      <c r="R44" s="105" t="s">
        <v>181</v>
      </c>
      <c r="S44" s="106" t="s">
        <v>181</v>
      </c>
      <c r="T44" s="105" t="s">
        <v>181</v>
      </c>
      <c r="U44" s="106" t="s">
        <v>181</v>
      </c>
      <c r="V44" s="105" t="s">
        <v>181</v>
      </c>
      <c r="W44" s="106" t="s">
        <v>181</v>
      </c>
      <c r="X44" s="105" t="s">
        <v>181</v>
      </c>
      <c r="Y44" s="106" t="s">
        <v>181</v>
      </c>
      <c r="Z44" s="105" t="s">
        <v>181</v>
      </c>
      <c r="AA44" s="106" t="s">
        <v>181</v>
      </c>
      <c r="AB44" s="105" t="s">
        <v>181</v>
      </c>
      <c r="AC44" s="106" t="s">
        <v>181</v>
      </c>
      <c r="AD44" s="105" t="s">
        <v>181</v>
      </c>
      <c r="AE44" s="106" t="s">
        <v>181</v>
      </c>
      <c r="AF44" s="105" t="s">
        <v>181</v>
      </c>
      <c r="AG44" s="106" t="s">
        <v>181</v>
      </c>
      <c r="AH44" s="105" t="s">
        <v>181</v>
      </c>
      <c r="AI44" s="106" t="s">
        <v>181</v>
      </c>
      <c r="AJ44" s="105" t="s">
        <v>181</v>
      </c>
      <c r="AK44" s="106" t="s">
        <v>181</v>
      </c>
    </row>
    <row r="45" spans="1:37" s="1" customFormat="1" ht="15" hidden="1" customHeight="1" x14ac:dyDescent="0.25">
      <c r="A45" s="2"/>
      <c r="B45" s="2" t="s">
        <v>80</v>
      </c>
      <c r="C45" s="2" t="s">
        <v>81</v>
      </c>
      <c r="D45" s="3"/>
      <c r="E45" s="3"/>
      <c r="F45" s="3" t="s">
        <v>6</v>
      </c>
      <c r="G45" s="23" t="s">
        <v>89</v>
      </c>
      <c r="H45" s="23"/>
      <c r="I45" s="4">
        <v>2150</v>
      </c>
      <c r="J45" s="4"/>
      <c r="K45" s="4"/>
      <c r="L45" s="2" t="s">
        <v>82</v>
      </c>
      <c r="M45" s="2"/>
      <c r="N45" s="105" t="s">
        <v>181</v>
      </c>
      <c r="O45" s="106" t="s">
        <v>181</v>
      </c>
      <c r="P45" s="105" t="s">
        <v>181</v>
      </c>
      <c r="Q45" s="106" t="s">
        <v>181</v>
      </c>
      <c r="R45" s="105" t="s">
        <v>181</v>
      </c>
      <c r="S45" s="106" t="s">
        <v>181</v>
      </c>
      <c r="T45" s="105" t="s">
        <v>181</v>
      </c>
      <c r="U45" s="106" t="s">
        <v>181</v>
      </c>
      <c r="V45" s="105" t="s">
        <v>181</v>
      </c>
      <c r="W45" s="106" t="s">
        <v>181</v>
      </c>
      <c r="X45" s="105" t="s">
        <v>181</v>
      </c>
      <c r="Y45" s="106" t="s">
        <v>181</v>
      </c>
      <c r="Z45" s="105" t="s">
        <v>181</v>
      </c>
      <c r="AA45" s="106" t="s">
        <v>181</v>
      </c>
      <c r="AB45" s="105" t="s">
        <v>181</v>
      </c>
      <c r="AC45" s="106" t="s">
        <v>181</v>
      </c>
      <c r="AD45" s="105" t="s">
        <v>181</v>
      </c>
      <c r="AE45" s="106" t="s">
        <v>181</v>
      </c>
      <c r="AF45" s="105" t="s">
        <v>181</v>
      </c>
      <c r="AG45" s="106" t="s">
        <v>181</v>
      </c>
      <c r="AH45" s="105" t="s">
        <v>181</v>
      </c>
      <c r="AI45" s="106" t="s">
        <v>181</v>
      </c>
      <c r="AJ45" s="105" t="s">
        <v>181</v>
      </c>
      <c r="AK45" s="106" t="s">
        <v>181</v>
      </c>
    </row>
    <row r="46" spans="1:37" s="1" customFormat="1" ht="15" hidden="1" customHeight="1" x14ac:dyDescent="0.25">
      <c r="A46" s="2"/>
      <c r="B46" s="2" t="s">
        <v>97</v>
      </c>
      <c r="C46" s="2" t="s">
        <v>98</v>
      </c>
      <c r="D46" s="3"/>
      <c r="E46" s="3"/>
      <c r="F46" s="3">
        <v>43252</v>
      </c>
      <c r="G46" s="2"/>
      <c r="H46" s="2"/>
      <c r="I46" s="4">
        <v>1000</v>
      </c>
      <c r="J46" s="4"/>
      <c r="K46" s="4"/>
      <c r="L46" s="2" t="s">
        <v>82</v>
      </c>
      <c r="M46" s="2"/>
      <c r="N46" s="105" t="s">
        <v>181</v>
      </c>
      <c r="O46" s="106" t="s">
        <v>181</v>
      </c>
      <c r="P46" s="105" t="s">
        <v>181</v>
      </c>
      <c r="Q46" s="106" t="s">
        <v>181</v>
      </c>
      <c r="R46" s="105" t="s">
        <v>181</v>
      </c>
      <c r="S46" s="106" t="s">
        <v>181</v>
      </c>
      <c r="T46" s="105" t="s">
        <v>181</v>
      </c>
      <c r="U46" s="106" t="s">
        <v>181</v>
      </c>
      <c r="V46" s="105" t="s">
        <v>181</v>
      </c>
      <c r="W46" s="106" t="s">
        <v>181</v>
      </c>
      <c r="X46" s="105" t="s">
        <v>181</v>
      </c>
      <c r="Y46" s="106" t="s">
        <v>181</v>
      </c>
      <c r="Z46" s="105" t="s">
        <v>181</v>
      </c>
      <c r="AA46" s="106" t="s">
        <v>181</v>
      </c>
      <c r="AB46" s="105" t="s">
        <v>181</v>
      </c>
      <c r="AC46" s="106" t="s">
        <v>181</v>
      </c>
      <c r="AD46" s="105" t="s">
        <v>181</v>
      </c>
      <c r="AE46" s="106" t="s">
        <v>181</v>
      </c>
      <c r="AF46" s="105" t="s">
        <v>181</v>
      </c>
      <c r="AG46" s="106" t="s">
        <v>181</v>
      </c>
      <c r="AH46" s="105" t="s">
        <v>181</v>
      </c>
      <c r="AI46" s="106" t="s">
        <v>181</v>
      </c>
      <c r="AJ46" s="105" t="s">
        <v>181</v>
      </c>
      <c r="AK46" s="106" t="s">
        <v>181</v>
      </c>
    </row>
    <row r="47" spans="1:37" s="1" customFormat="1" ht="15" hidden="1" customHeight="1" x14ac:dyDescent="0.25">
      <c r="A47" s="2"/>
      <c r="B47" s="2" t="s">
        <v>101</v>
      </c>
      <c r="C47" s="2" t="s">
        <v>102</v>
      </c>
      <c r="D47" s="3" t="s">
        <v>181</v>
      </c>
      <c r="E47" s="26" t="s">
        <v>181</v>
      </c>
      <c r="F47" s="3"/>
      <c r="G47" s="2"/>
      <c r="H47" s="2"/>
      <c r="I47" s="4"/>
      <c r="J47" s="4" t="s">
        <v>164</v>
      </c>
      <c r="K47" s="4" t="s">
        <v>181</v>
      </c>
      <c r="L47" s="2" t="s">
        <v>149</v>
      </c>
      <c r="M47" s="2" t="s">
        <v>275</v>
      </c>
      <c r="N47" s="105" t="s">
        <v>181</v>
      </c>
      <c r="O47" s="106" t="s">
        <v>181</v>
      </c>
      <c r="P47" s="105" t="s">
        <v>181</v>
      </c>
      <c r="Q47" s="106" t="s">
        <v>181</v>
      </c>
      <c r="R47" s="105" t="s">
        <v>181</v>
      </c>
      <c r="S47" s="106" t="s">
        <v>181</v>
      </c>
      <c r="T47" s="105" t="s">
        <v>181</v>
      </c>
      <c r="U47" s="106" t="s">
        <v>181</v>
      </c>
      <c r="V47" s="105" t="s">
        <v>181</v>
      </c>
      <c r="W47" s="106" t="s">
        <v>181</v>
      </c>
      <c r="X47" s="105" t="s">
        <v>181</v>
      </c>
      <c r="Y47" s="106" t="s">
        <v>181</v>
      </c>
      <c r="Z47" s="105" t="s">
        <v>181</v>
      </c>
      <c r="AA47" s="106" t="s">
        <v>181</v>
      </c>
      <c r="AB47" s="105" t="s">
        <v>181</v>
      </c>
      <c r="AC47" s="106" t="s">
        <v>181</v>
      </c>
      <c r="AD47" s="105" t="s">
        <v>181</v>
      </c>
      <c r="AE47" s="106" t="s">
        <v>181</v>
      </c>
      <c r="AF47" s="105" t="s">
        <v>181</v>
      </c>
      <c r="AG47" s="106" t="s">
        <v>181</v>
      </c>
      <c r="AH47" s="105" t="s">
        <v>181</v>
      </c>
      <c r="AI47" s="106" t="s">
        <v>181</v>
      </c>
      <c r="AJ47" s="105" t="s">
        <v>181</v>
      </c>
      <c r="AK47" s="106" t="s">
        <v>181</v>
      </c>
    </row>
    <row r="48" spans="1:37" s="1" customFormat="1" ht="15" hidden="1" customHeight="1" x14ac:dyDescent="0.25">
      <c r="A48" s="25"/>
      <c r="B48" s="25" t="s">
        <v>43</v>
      </c>
      <c r="C48" s="25" t="s">
        <v>103</v>
      </c>
      <c r="D48" s="26">
        <v>42880</v>
      </c>
      <c r="E48" s="26"/>
      <c r="F48" s="26" t="s">
        <v>6</v>
      </c>
      <c r="G48" s="73" t="s">
        <v>6</v>
      </c>
      <c r="H48" s="73" t="s">
        <v>7</v>
      </c>
      <c r="I48" s="27">
        <v>392</v>
      </c>
      <c r="J48" s="27" t="s">
        <v>140</v>
      </c>
      <c r="K48" s="27"/>
      <c r="L48" s="25" t="s">
        <v>149</v>
      </c>
      <c r="M48" s="41" t="s">
        <v>144</v>
      </c>
      <c r="N48" s="105" t="s">
        <v>181</v>
      </c>
      <c r="O48" s="106">
        <v>0</v>
      </c>
      <c r="P48" s="105" t="s">
        <v>181</v>
      </c>
      <c r="Q48" s="106">
        <v>0</v>
      </c>
      <c r="R48" s="105" t="s">
        <v>181</v>
      </c>
      <c r="S48" s="106">
        <v>0</v>
      </c>
      <c r="T48" s="105" t="s">
        <v>181</v>
      </c>
      <c r="U48" s="106">
        <v>0</v>
      </c>
      <c r="V48" s="105" t="s">
        <v>181</v>
      </c>
      <c r="W48" s="106">
        <v>0</v>
      </c>
      <c r="X48" s="105" t="s">
        <v>181</v>
      </c>
      <c r="Y48" s="106">
        <v>0</v>
      </c>
      <c r="Z48" s="105" t="s">
        <v>181</v>
      </c>
      <c r="AA48" s="106">
        <v>0</v>
      </c>
      <c r="AB48" s="105" t="s">
        <v>181</v>
      </c>
      <c r="AC48" s="106">
        <v>0</v>
      </c>
      <c r="AD48" s="105" t="s">
        <v>181</v>
      </c>
      <c r="AE48" s="106">
        <v>0</v>
      </c>
      <c r="AF48" s="105" t="s">
        <v>181</v>
      </c>
      <c r="AG48" s="106">
        <v>0</v>
      </c>
      <c r="AH48" s="105" t="s">
        <v>181</v>
      </c>
      <c r="AI48" s="106">
        <v>0</v>
      </c>
      <c r="AJ48" s="105" t="s">
        <v>181</v>
      </c>
      <c r="AK48" s="106">
        <v>0</v>
      </c>
    </row>
    <row r="49" spans="1:37" s="128" customFormat="1" ht="15.75" x14ac:dyDescent="0.25">
      <c r="A49" s="141"/>
      <c r="B49" s="122"/>
      <c r="C49" s="122"/>
      <c r="D49" s="123"/>
      <c r="E49" s="123"/>
      <c r="F49" s="123"/>
      <c r="G49" s="122"/>
      <c r="H49" s="122"/>
      <c r="I49" s="124"/>
      <c r="J49" s="124"/>
      <c r="K49" s="124"/>
      <c r="L49" s="122"/>
      <c r="M49" s="122"/>
      <c r="N49" s="125"/>
      <c r="O49" s="126">
        <f>SUBTOTAL(9,O3:O48)</f>
        <v>24915.600000000002</v>
      </c>
      <c r="P49" s="125"/>
      <c r="Q49" s="126">
        <f>SUBTOTAL(9,Q3:Q48)</f>
        <v>25514.110000000004</v>
      </c>
      <c r="R49" s="125"/>
      <c r="S49" s="126">
        <f>SUBTOTAL(9,S3:S48)</f>
        <v>28164.75</v>
      </c>
      <c r="T49" s="125"/>
      <c r="U49" s="126">
        <f>SUBTOTAL(9,U3:U48)</f>
        <v>29820.770000000004</v>
      </c>
      <c r="V49" s="125"/>
      <c r="W49" s="126">
        <f>SUBTOTAL(9,W3:W48)</f>
        <v>29112.780000000006</v>
      </c>
      <c r="X49" s="127"/>
      <c r="Y49" s="126">
        <f>SUBTOTAL(9,Y3:Y48)</f>
        <v>30474.58</v>
      </c>
      <c r="Z49" s="125"/>
      <c r="AA49" s="126">
        <f>SUBTOTAL(9,AA3:AA48)</f>
        <v>31054.789999999997</v>
      </c>
      <c r="AB49" s="125"/>
      <c r="AC49" s="126">
        <f>SUBTOTAL(9,AC3:AC48)</f>
        <v>33109.929999999993</v>
      </c>
      <c r="AD49" s="125"/>
      <c r="AE49" s="126">
        <f>SUBTOTAL(9,AE3:AE48)</f>
        <v>34628.959999999999</v>
      </c>
      <c r="AF49" s="127"/>
      <c r="AG49" s="126">
        <f>SUBTOTAL(9,AG3:AG48)</f>
        <v>30461.339999999997</v>
      </c>
      <c r="AH49" s="127"/>
      <c r="AI49" s="126">
        <f>SUBTOTAL(9,AI3:AI48)</f>
        <v>29987.329999999998</v>
      </c>
      <c r="AJ49" s="127"/>
      <c r="AK49" s="126">
        <f>SUBTOTAL(9,AK3:AK48)</f>
        <v>35286.5</v>
      </c>
    </row>
    <row r="50" spans="1:37" s="1" customFormat="1" x14ac:dyDescent="0.25">
      <c r="A50" s="55"/>
      <c r="B50" s="55" t="s">
        <v>61</v>
      </c>
      <c r="C50" s="56"/>
      <c r="D50" s="56"/>
      <c r="E50" s="56"/>
      <c r="F50" s="56"/>
      <c r="G50" s="56"/>
      <c r="H50" s="56"/>
      <c r="I50" s="56"/>
      <c r="J50" s="56"/>
      <c r="K50" s="56"/>
      <c r="L50" s="56" t="s">
        <v>78</v>
      </c>
      <c r="M50" s="56"/>
      <c r="N50" s="57"/>
      <c r="O50" s="58"/>
      <c r="P50" s="57"/>
      <c r="Q50" s="58"/>
      <c r="R50" s="57"/>
      <c r="S50" s="58"/>
      <c r="T50" s="57"/>
      <c r="U50" s="58"/>
      <c r="V50" s="57"/>
      <c r="W50" s="58"/>
      <c r="X50" s="57"/>
      <c r="Y50" s="58"/>
      <c r="Z50" s="57"/>
      <c r="AA50" s="58"/>
      <c r="AB50" s="57"/>
      <c r="AC50" s="58"/>
      <c r="AD50" s="57"/>
      <c r="AE50" s="58"/>
      <c r="AF50" s="57"/>
      <c r="AG50" s="58"/>
      <c r="AH50" s="57"/>
      <c r="AI50" s="58"/>
      <c r="AJ50" s="57"/>
      <c r="AK50" s="58"/>
    </row>
    <row r="51" spans="1:37" s="1" customFormat="1" x14ac:dyDescent="0.25">
      <c r="A51" s="121"/>
      <c r="B51" s="35" t="s">
        <v>224</v>
      </c>
      <c r="C51" s="36" t="s">
        <v>202</v>
      </c>
      <c r="D51" s="37" t="s">
        <v>181</v>
      </c>
      <c r="E51" s="37" t="s">
        <v>181</v>
      </c>
      <c r="F51" s="37" t="s">
        <v>181</v>
      </c>
      <c r="G51" s="36" t="s">
        <v>181</v>
      </c>
      <c r="H51" s="36" t="s">
        <v>181</v>
      </c>
      <c r="I51" s="38" t="s">
        <v>181</v>
      </c>
      <c r="J51" s="38" t="s">
        <v>181</v>
      </c>
      <c r="K51" s="38" t="s">
        <v>181</v>
      </c>
      <c r="L51" s="2" t="s">
        <v>78</v>
      </c>
      <c r="M51" s="36"/>
      <c r="N51" s="110" t="s">
        <v>181</v>
      </c>
      <c r="O51" s="111" t="s">
        <v>181</v>
      </c>
      <c r="P51" s="112" t="s">
        <v>181</v>
      </c>
      <c r="Q51" s="111" t="s">
        <v>181</v>
      </c>
      <c r="R51" s="112" t="s">
        <v>181</v>
      </c>
      <c r="S51" s="111" t="s">
        <v>181</v>
      </c>
      <c r="T51" s="113" t="s">
        <v>181</v>
      </c>
      <c r="U51" s="113" t="s">
        <v>181</v>
      </c>
      <c r="V51" s="110" t="s">
        <v>181</v>
      </c>
      <c r="W51" s="113" t="s">
        <v>181</v>
      </c>
      <c r="X51" s="110" t="s">
        <v>181</v>
      </c>
      <c r="Y51" s="113" t="s">
        <v>181</v>
      </c>
      <c r="Z51" s="110" t="s">
        <v>181</v>
      </c>
      <c r="AA51" s="113" t="s">
        <v>181</v>
      </c>
      <c r="AB51" s="107" t="s">
        <v>181</v>
      </c>
      <c r="AC51" s="113" t="s">
        <v>181</v>
      </c>
      <c r="AD51" s="112" t="s">
        <v>181</v>
      </c>
      <c r="AE51" s="111" t="s">
        <v>181</v>
      </c>
      <c r="AF51" s="112" t="s">
        <v>181</v>
      </c>
      <c r="AG51" s="111" t="s">
        <v>181</v>
      </c>
      <c r="AH51" s="112" t="s">
        <v>181</v>
      </c>
      <c r="AI51" s="111" t="s">
        <v>181</v>
      </c>
      <c r="AJ51" s="112" t="s">
        <v>181</v>
      </c>
      <c r="AK51" s="114" t="s">
        <v>181</v>
      </c>
    </row>
    <row r="52" spans="1:37" s="1" customFormat="1" x14ac:dyDescent="0.25">
      <c r="A52" s="120"/>
      <c r="B52" s="35" t="s">
        <v>274</v>
      </c>
      <c r="C52" s="36" t="s">
        <v>204</v>
      </c>
      <c r="D52" s="37" t="s">
        <v>181</v>
      </c>
      <c r="E52" s="37" t="s">
        <v>181</v>
      </c>
      <c r="F52" s="37" t="s">
        <v>181</v>
      </c>
      <c r="G52" s="36" t="s">
        <v>181</v>
      </c>
      <c r="H52" s="36" t="s">
        <v>181</v>
      </c>
      <c r="I52" s="38" t="s">
        <v>181</v>
      </c>
      <c r="J52" s="38" t="s">
        <v>181</v>
      </c>
      <c r="K52" s="38" t="s">
        <v>181</v>
      </c>
      <c r="L52" s="2" t="s">
        <v>78</v>
      </c>
      <c r="M52" s="36"/>
      <c r="N52" s="110" t="s">
        <v>181</v>
      </c>
      <c r="O52" s="111" t="s">
        <v>181</v>
      </c>
      <c r="P52" s="112" t="s">
        <v>181</v>
      </c>
      <c r="Q52" s="111" t="s">
        <v>181</v>
      </c>
      <c r="R52" s="112">
        <v>44624</v>
      </c>
      <c r="S52" s="111">
        <v>51910</v>
      </c>
      <c r="T52" s="112">
        <v>44652</v>
      </c>
      <c r="U52" s="111">
        <v>66741.440000000002</v>
      </c>
      <c r="V52" s="110" t="s">
        <v>181</v>
      </c>
      <c r="W52" s="111" t="s">
        <v>181</v>
      </c>
      <c r="X52" s="110">
        <v>44719</v>
      </c>
      <c r="Y52" s="111">
        <v>32500</v>
      </c>
      <c r="Z52" s="110">
        <v>44750</v>
      </c>
      <c r="AA52" s="111">
        <v>29665.85</v>
      </c>
      <c r="AB52" s="107">
        <v>44775</v>
      </c>
      <c r="AC52" s="111">
        <v>32500</v>
      </c>
      <c r="AD52" s="112" t="s">
        <v>181</v>
      </c>
      <c r="AE52" s="111" t="s">
        <v>181</v>
      </c>
      <c r="AF52" s="112">
        <v>44837</v>
      </c>
      <c r="AG52" s="111">
        <v>43500</v>
      </c>
      <c r="AH52" s="112">
        <v>44872</v>
      </c>
      <c r="AI52" s="111">
        <v>72500</v>
      </c>
      <c r="AJ52" s="112">
        <v>44896</v>
      </c>
      <c r="AK52" s="114">
        <v>29000</v>
      </c>
    </row>
    <row r="53" spans="1:37" s="1" customFormat="1" x14ac:dyDescent="0.25">
      <c r="A53" s="121"/>
      <c r="B53" s="35" t="s">
        <v>50</v>
      </c>
      <c r="C53" s="36"/>
      <c r="D53" s="37"/>
      <c r="E53" s="37"/>
      <c r="F53" s="37"/>
      <c r="G53" s="36" t="s">
        <v>181</v>
      </c>
      <c r="H53" s="36" t="s">
        <v>181</v>
      </c>
      <c r="I53" s="38"/>
      <c r="J53" s="38"/>
      <c r="K53" s="38"/>
      <c r="L53" s="2"/>
      <c r="M53" s="36"/>
      <c r="N53" s="110" t="s">
        <v>181</v>
      </c>
      <c r="O53" s="111" t="s">
        <v>181</v>
      </c>
      <c r="P53" s="112" t="s">
        <v>181</v>
      </c>
      <c r="Q53" s="111" t="s">
        <v>181</v>
      </c>
      <c r="R53" s="112">
        <v>44625</v>
      </c>
      <c r="S53" s="111">
        <v>4000</v>
      </c>
      <c r="T53" s="112" t="s">
        <v>181</v>
      </c>
      <c r="U53" s="111" t="s">
        <v>181</v>
      </c>
      <c r="V53" s="110" t="s">
        <v>181</v>
      </c>
      <c r="W53" s="111" t="s">
        <v>181</v>
      </c>
      <c r="X53" s="110" t="s">
        <v>181</v>
      </c>
      <c r="Y53" s="111" t="s">
        <v>181</v>
      </c>
      <c r="Z53" s="110" t="s">
        <v>181</v>
      </c>
      <c r="AA53" s="111" t="s">
        <v>181</v>
      </c>
      <c r="AB53" s="107" t="s">
        <v>181</v>
      </c>
      <c r="AC53" s="111" t="s">
        <v>181</v>
      </c>
      <c r="AD53" s="112" t="s">
        <v>181</v>
      </c>
      <c r="AE53" s="111" t="s">
        <v>181</v>
      </c>
      <c r="AF53" s="112">
        <v>44637</v>
      </c>
      <c r="AG53" s="111">
        <v>4000</v>
      </c>
      <c r="AH53" s="112" t="s">
        <v>181</v>
      </c>
      <c r="AI53" s="111" t="s">
        <v>181</v>
      </c>
      <c r="AJ53" s="112" t="s">
        <v>181</v>
      </c>
      <c r="AK53" s="114" t="s">
        <v>181</v>
      </c>
    </row>
    <row r="54" spans="1:37" s="1" customFormat="1" x14ac:dyDescent="0.25">
      <c r="A54" s="120"/>
      <c r="B54" s="35" t="s">
        <v>300</v>
      </c>
      <c r="C54" s="36" t="s">
        <v>301</v>
      </c>
      <c r="D54" s="37" t="s">
        <v>181</v>
      </c>
      <c r="E54" s="37" t="s">
        <v>181</v>
      </c>
      <c r="F54" s="37" t="s">
        <v>181</v>
      </c>
      <c r="G54" s="36" t="s">
        <v>181</v>
      </c>
      <c r="H54" s="36" t="s">
        <v>181</v>
      </c>
      <c r="I54" s="38" t="s">
        <v>181</v>
      </c>
      <c r="J54" s="38" t="s">
        <v>181</v>
      </c>
      <c r="K54" s="38" t="s">
        <v>181</v>
      </c>
      <c r="L54" s="2" t="s">
        <v>78</v>
      </c>
      <c r="M54" s="36" t="s">
        <v>181</v>
      </c>
      <c r="N54" s="110" t="s">
        <v>181</v>
      </c>
      <c r="O54" s="111" t="s">
        <v>181</v>
      </c>
      <c r="P54" s="112" t="s">
        <v>181</v>
      </c>
      <c r="Q54" s="111" t="s">
        <v>181</v>
      </c>
      <c r="R54" s="112" t="s">
        <v>181</v>
      </c>
      <c r="S54" s="111" t="s">
        <v>181</v>
      </c>
      <c r="T54" s="112">
        <v>44658</v>
      </c>
      <c r="U54" s="111">
        <v>21000</v>
      </c>
      <c r="V54" s="110" t="s">
        <v>181</v>
      </c>
      <c r="W54" s="111" t="s">
        <v>181</v>
      </c>
      <c r="X54" s="110" t="s">
        <v>181</v>
      </c>
      <c r="Y54" s="111" t="s">
        <v>181</v>
      </c>
      <c r="Z54" s="110" t="s">
        <v>181</v>
      </c>
      <c r="AA54" s="111" t="s">
        <v>181</v>
      </c>
      <c r="AB54" s="107" t="s">
        <v>181</v>
      </c>
      <c r="AC54" s="111" t="s">
        <v>181</v>
      </c>
      <c r="AD54" s="112" t="s">
        <v>181</v>
      </c>
      <c r="AE54" s="111" t="s">
        <v>181</v>
      </c>
      <c r="AF54" s="112" t="s">
        <v>181</v>
      </c>
      <c r="AG54" s="111" t="s">
        <v>181</v>
      </c>
      <c r="AH54" s="112" t="s">
        <v>181</v>
      </c>
      <c r="AI54" s="111" t="s">
        <v>181</v>
      </c>
      <c r="AJ54" s="112" t="s">
        <v>181</v>
      </c>
      <c r="AK54" s="114" t="s">
        <v>181</v>
      </c>
    </row>
    <row r="55" spans="1:37" s="1" customFormat="1" x14ac:dyDescent="0.25">
      <c r="A55" s="120"/>
      <c r="B55" s="35" t="s">
        <v>52</v>
      </c>
      <c r="C55" s="36" t="s">
        <v>302</v>
      </c>
      <c r="D55" s="37" t="s">
        <v>181</v>
      </c>
      <c r="E55" s="37" t="s">
        <v>181</v>
      </c>
      <c r="F55" s="37" t="s">
        <v>181</v>
      </c>
      <c r="G55" s="36" t="s">
        <v>181</v>
      </c>
      <c r="H55" s="36" t="s">
        <v>181</v>
      </c>
      <c r="I55" s="38" t="s">
        <v>181</v>
      </c>
      <c r="J55" s="38" t="s">
        <v>181</v>
      </c>
      <c r="K55" s="38" t="s">
        <v>181</v>
      </c>
      <c r="L55" s="2" t="s">
        <v>78</v>
      </c>
      <c r="M55" s="36" t="s">
        <v>181</v>
      </c>
      <c r="N55" s="110" t="s">
        <v>181</v>
      </c>
      <c r="O55" s="111" t="s">
        <v>181</v>
      </c>
      <c r="P55" s="112" t="s">
        <v>181</v>
      </c>
      <c r="Q55" s="111" t="s">
        <v>181</v>
      </c>
      <c r="R55" s="112" t="s">
        <v>181</v>
      </c>
      <c r="S55" s="111" t="s">
        <v>181</v>
      </c>
      <c r="T55" s="112">
        <v>44661</v>
      </c>
      <c r="U55" s="111">
        <f>9900+4000+25590</f>
        <v>39490</v>
      </c>
      <c r="V55" s="110">
        <v>44691</v>
      </c>
      <c r="W55" s="111">
        <f>26130+221.72</f>
        <v>26351.72</v>
      </c>
      <c r="X55" s="110">
        <v>44719</v>
      </c>
      <c r="Y55" s="111">
        <v>8298</v>
      </c>
      <c r="Z55" s="110">
        <v>44748</v>
      </c>
      <c r="AA55" s="111">
        <f>52860.28+8000</f>
        <v>60860.28</v>
      </c>
      <c r="AB55" s="107" t="s">
        <v>181</v>
      </c>
      <c r="AC55" s="111" t="s">
        <v>181</v>
      </c>
      <c r="AD55" s="112" t="s">
        <v>181</v>
      </c>
      <c r="AE55" s="111" t="s">
        <v>181</v>
      </c>
      <c r="AF55" s="112">
        <v>44838</v>
      </c>
      <c r="AG55" s="111">
        <v>8000</v>
      </c>
      <c r="AH55" s="112">
        <v>44869</v>
      </c>
      <c r="AI55" s="111">
        <v>14250</v>
      </c>
      <c r="AJ55" s="112" t="s">
        <v>181</v>
      </c>
      <c r="AK55" s="114" t="s">
        <v>181</v>
      </c>
    </row>
    <row r="56" spans="1:37" s="139" customFormat="1" ht="15.75" x14ac:dyDescent="0.25">
      <c r="A56" s="142"/>
      <c r="B56" s="129"/>
      <c r="C56" s="130"/>
      <c r="D56" s="131"/>
      <c r="E56" s="131"/>
      <c r="F56" s="132"/>
      <c r="G56" s="133"/>
      <c r="H56" s="133"/>
      <c r="I56" s="134"/>
      <c r="J56" s="134"/>
      <c r="K56" s="134"/>
      <c r="L56" s="122"/>
      <c r="M56" s="130"/>
      <c r="N56" s="135"/>
      <c r="O56" s="136">
        <f>SUBTOTAL(9,O51:O53)</f>
        <v>0</v>
      </c>
      <c r="P56" s="132"/>
      <c r="Q56" s="136">
        <f>SUBTOTAL(9,Q51:Q55)</f>
        <v>0</v>
      </c>
      <c r="R56" s="136"/>
      <c r="S56" s="136">
        <f t="shared" ref="S56:AK56" si="0">SUBTOTAL(9,S51:S55)</f>
        <v>55910</v>
      </c>
      <c r="T56" s="136"/>
      <c r="U56" s="136">
        <f t="shared" si="0"/>
        <v>127231.44</v>
      </c>
      <c r="V56" s="136"/>
      <c r="W56" s="136">
        <f t="shared" si="0"/>
        <v>26351.72</v>
      </c>
      <c r="X56" s="136"/>
      <c r="Y56" s="136">
        <f t="shared" si="0"/>
        <v>40798</v>
      </c>
      <c r="Z56" s="136"/>
      <c r="AA56" s="136">
        <f t="shared" si="0"/>
        <v>90526.13</v>
      </c>
      <c r="AB56" s="136"/>
      <c r="AC56" s="136">
        <f>SUBTOTAL(9,AC51:AC55)</f>
        <v>32500</v>
      </c>
      <c r="AD56" s="136"/>
      <c r="AE56" s="136">
        <f t="shared" si="0"/>
        <v>0</v>
      </c>
      <c r="AF56" s="136"/>
      <c r="AG56" s="136">
        <f t="shared" si="0"/>
        <v>55500</v>
      </c>
      <c r="AH56" s="136"/>
      <c r="AI56" s="136">
        <f t="shared" si="0"/>
        <v>86750</v>
      </c>
      <c r="AJ56" s="136"/>
      <c r="AK56" s="136">
        <f t="shared" si="0"/>
        <v>29000</v>
      </c>
    </row>
    <row r="57" spans="1:37" s="128" customFormat="1" ht="15.75" x14ac:dyDescent="0.25">
      <c r="A57" s="140"/>
      <c r="B57" s="146" t="s">
        <v>152</v>
      </c>
      <c r="C57" s="130"/>
      <c r="D57" s="131"/>
      <c r="E57" s="131"/>
      <c r="F57" s="131"/>
      <c r="G57" s="130"/>
      <c r="H57" s="130"/>
      <c r="I57" s="147"/>
      <c r="J57" s="147"/>
      <c r="K57" s="147"/>
      <c r="L57" s="130"/>
      <c r="M57" s="130"/>
      <c r="N57" s="131"/>
      <c r="O57" s="147">
        <f>SUBTOTAL(9,O3:O56)</f>
        <v>24915.600000000002</v>
      </c>
      <c r="P57" s="131"/>
      <c r="Q57" s="147">
        <f>SUBTOTAL(9,Q3:Q56)</f>
        <v>25514.110000000004</v>
      </c>
      <c r="R57" s="131"/>
      <c r="S57" s="147">
        <f>SUBTOTAL(9,S3:S56)</f>
        <v>84074.75</v>
      </c>
      <c r="T57" s="131"/>
      <c r="U57" s="147">
        <f>SUBTOTAL(9,U3:U56)</f>
        <v>157052.21000000002</v>
      </c>
      <c r="V57" s="131"/>
      <c r="W57" s="147">
        <f>SUBTOTAL(9,W3:W56)</f>
        <v>55464.500000000007</v>
      </c>
      <c r="X57" s="131"/>
      <c r="Y57" s="147">
        <f>SUBTOTAL(109,Tabela1456789[Valor8])</f>
        <v>71272.58</v>
      </c>
      <c r="Z57" s="131"/>
      <c r="AA57" s="147">
        <f>SUBTOTAL(109,Tabela1456789[Valor9])</f>
        <v>121580.92</v>
      </c>
      <c r="AB57" s="123"/>
      <c r="AC57" s="147">
        <f>SUBTOTAL(109,Tabela1456789[Valor10])</f>
        <v>65609.929999999993</v>
      </c>
      <c r="AD57" s="131"/>
      <c r="AE57" s="147">
        <f>SUBTOTAL(109,Tabela1456789[Valor11])</f>
        <v>34628.959999999999</v>
      </c>
      <c r="AF57" s="131"/>
      <c r="AG57" s="147">
        <f>SUBTOTAL(109,Tabela1456789[Valor12])</f>
        <v>85961.34</v>
      </c>
      <c r="AH57" s="131"/>
      <c r="AI57" s="147">
        <f>SUBTOTAL(109,Tabela1456789[Valor14])</f>
        <v>116737.33</v>
      </c>
      <c r="AJ57" s="131"/>
      <c r="AK57" s="148">
        <f>SUBTOTAL(109,Tabela1456789[Valor2])</f>
        <v>64286.5</v>
      </c>
    </row>
    <row r="62" spans="1:37" x14ac:dyDescent="0.25">
      <c r="W62" s="101"/>
    </row>
  </sheetData>
  <mergeCells count="14">
    <mergeCell ref="T1:U1"/>
    <mergeCell ref="D1:F1"/>
    <mergeCell ref="K1:L1"/>
    <mergeCell ref="N1:O1"/>
    <mergeCell ref="P1:Q1"/>
    <mergeCell ref="R1:S1"/>
    <mergeCell ref="AH1:AI1"/>
    <mergeCell ref="AJ1:AK1"/>
    <mergeCell ref="V1:W1"/>
    <mergeCell ref="X1:Y1"/>
    <mergeCell ref="Z1:AA1"/>
    <mergeCell ref="AB1:AC1"/>
    <mergeCell ref="AD1:AE1"/>
    <mergeCell ref="AF1:AG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35" orientation="landscape" r:id="rId1"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10">
    <pageSetUpPr fitToPage="1"/>
  </sheetPr>
  <dimension ref="A1:AL69"/>
  <sheetViews>
    <sheetView zoomScale="90" zoomScaleNormal="90" workbookViewId="0">
      <pane xSplit="14" ySplit="1" topLeftCell="O2" activePane="bottomRight" state="frozen"/>
      <selection pane="topRight" activeCell="O1" sqref="O1"/>
      <selection pane="bottomLeft" activeCell="A2" sqref="A2"/>
      <selection pane="bottomRight" activeCell="O28" sqref="O28"/>
    </sheetView>
  </sheetViews>
  <sheetFormatPr defaultColWidth="9.140625" defaultRowHeight="15" outlineLevelCol="1" x14ac:dyDescent="0.25"/>
  <cols>
    <col min="1" max="1" width="5.140625" style="100" bestFit="1" customWidth="1"/>
    <col min="2" max="2" width="26.5703125" style="100" bestFit="1" customWidth="1"/>
    <col min="3" max="3" width="51.28515625" style="100" hidden="1" customWidth="1" outlineLevel="1"/>
    <col min="4" max="4" width="22.28515625" style="100" hidden="1" customWidth="1" outlineLevel="1"/>
    <col min="5" max="5" width="19.28515625" style="100" hidden="1" customWidth="1" outlineLevel="1"/>
    <col min="6" max="6" width="15.140625" style="100" hidden="1" customWidth="1" outlineLevel="1"/>
    <col min="7" max="7" width="23" style="100" bestFit="1" customWidth="1" collapsed="1"/>
    <col min="8" max="8" width="18.140625" style="100" bestFit="1" customWidth="1"/>
    <col min="9" max="9" width="16.140625" style="100" hidden="1" customWidth="1" outlineLevel="1"/>
    <col min="10" max="10" width="47.5703125" style="100" hidden="1" customWidth="1" outlineLevel="1"/>
    <col min="11" max="11" width="26.140625" style="100" hidden="1" customWidth="1" outlineLevel="1"/>
    <col min="12" max="12" width="17" style="100" hidden="1" customWidth="1" outlineLevel="1"/>
    <col min="13" max="13" width="63" style="100" hidden="1" customWidth="1" outlineLevel="1"/>
    <col min="14" max="14" width="16.140625" style="100" bestFit="1" customWidth="1" collapsed="1"/>
    <col min="15" max="15" width="11.5703125" style="100" customWidth="1"/>
    <col min="16" max="16" width="15.28515625" style="100" bestFit="1" customWidth="1"/>
    <col min="17" max="17" width="11.5703125" style="100" customWidth="1"/>
    <col min="18" max="18" width="15.28515625" style="100" bestFit="1" customWidth="1"/>
    <col min="19" max="19" width="14.42578125" style="100" bestFit="1" customWidth="1"/>
    <col min="20" max="20" width="15.28515625" style="100" bestFit="1" customWidth="1"/>
    <col min="21" max="21" width="15" style="100" customWidth="1"/>
    <col min="22" max="22" width="16.140625" style="100" bestFit="1" customWidth="1"/>
    <col min="23" max="23" width="14.42578125" style="100" bestFit="1" customWidth="1"/>
    <col min="24" max="24" width="16.140625" style="100" bestFit="1" customWidth="1"/>
    <col min="25" max="25" width="11.5703125" style="100" bestFit="1" customWidth="1"/>
    <col min="26" max="26" width="15.28515625" style="100" bestFit="1" customWidth="1"/>
    <col min="27" max="27" width="11.5703125" style="100" customWidth="1"/>
    <col min="28" max="28" width="15.28515625" style="100" bestFit="1" customWidth="1"/>
    <col min="29" max="29" width="11.5703125" style="100" customWidth="1"/>
    <col min="30" max="30" width="15.28515625" style="100" bestFit="1" customWidth="1"/>
    <col min="31" max="31" width="12.5703125" style="100" bestFit="1" customWidth="1"/>
    <col min="32" max="32" width="15.28515625" style="100" bestFit="1" customWidth="1"/>
    <col min="33" max="33" width="12.5703125" style="100" customWidth="1"/>
    <col min="34" max="34" width="15.28515625" style="100" bestFit="1" customWidth="1"/>
    <col min="35" max="35" width="12.5703125" style="100" customWidth="1"/>
    <col min="36" max="36" width="15" style="100" bestFit="1" customWidth="1"/>
    <col min="37" max="37" width="12.5703125" style="100" bestFit="1" customWidth="1"/>
    <col min="38" max="38" width="14.7109375" style="100" customWidth="1"/>
    <col min="39" max="16384" width="9.140625" style="100"/>
  </cols>
  <sheetData>
    <row r="1" spans="1:38" s="1" customFormat="1" ht="15" customHeight="1" x14ac:dyDescent="0.25">
      <c r="A1" s="143" t="s">
        <v>60</v>
      </c>
      <c r="B1" s="143"/>
      <c r="C1" s="144"/>
      <c r="D1" s="170"/>
      <c r="E1" s="170"/>
      <c r="F1" s="171"/>
      <c r="G1" s="69"/>
      <c r="H1" s="70"/>
      <c r="I1" s="69"/>
      <c r="J1" s="70"/>
      <c r="K1" s="170"/>
      <c r="L1" s="171"/>
      <c r="M1" s="62"/>
      <c r="N1" s="62"/>
      <c r="O1" s="170">
        <v>44927</v>
      </c>
      <c r="P1" s="171"/>
      <c r="Q1" s="170">
        <v>44958</v>
      </c>
      <c r="R1" s="171"/>
      <c r="S1" s="170">
        <v>44986</v>
      </c>
      <c r="T1" s="171"/>
      <c r="U1" s="170">
        <v>45017</v>
      </c>
      <c r="V1" s="171"/>
      <c r="W1" s="170">
        <v>45047</v>
      </c>
      <c r="X1" s="171"/>
      <c r="Y1" s="170">
        <v>45078</v>
      </c>
      <c r="Z1" s="171"/>
      <c r="AA1" s="170">
        <v>45108</v>
      </c>
      <c r="AB1" s="171"/>
      <c r="AC1" s="170">
        <v>45139</v>
      </c>
      <c r="AD1" s="171"/>
      <c r="AE1" s="170">
        <v>45170</v>
      </c>
      <c r="AF1" s="171"/>
      <c r="AG1" s="170">
        <v>45200</v>
      </c>
      <c r="AH1" s="171"/>
      <c r="AI1" s="170">
        <v>45231</v>
      </c>
      <c r="AJ1" s="171"/>
      <c r="AK1" s="170">
        <v>45261</v>
      </c>
      <c r="AL1" s="171"/>
    </row>
    <row r="2" spans="1:38" s="13" customFormat="1" ht="30" x14ac:dyDescent="0.25">
      <c r="A2" s="118" t="s">
        <v>276</v>
      </c>
      <c r="B2" s="11" t="s">
        <v>0</v>
      </c>
      <c r="C2" s="43" t="s">
        <v>5</v>
      </c>
      <c r="D2" s="45" t="s">
        <v>3</v>
      </c>
      <c r="E2" s="66" t="s">
        <v>209</v>
      </c>
      <c r="F2" s="45" t="s">
        <v>1</v>
      </c>
      <c r="G2" s="43" t="s">
        <v>8</v>
      </c>
      <c r="H2" s="43" t="s">
        <v>2</v>
      </c>
      <c r="I2" s="44" t="s">
        <v>79</v>
      </c>
      <c r="J2" s="44" t="s">
        <v>107</v>
      </c>
      <c r="K2" s="59" t="s">
        <v>186</v>
      </c>
      <c r="L2" s="43" t="s">
        <v>19</v>
      </c>
      <c r="M2" s="43" t="s">
        <v>105</v>
      </c>
      <c r="N2" s="11" t="s">
        <v>317</v>
      </c>
      <c r="O2" s="45" t="s">
        <v>115</v>
      </c>
      <c r="P2" s="46" t="s">
        <v>116</v>
      </c>
      <c r="Q2" s="45" t="s">
        <v>117</v>
      </c>
      <c r="R2" s="46" t="s">
        <v>118</v>
      </c>
      <c r="S2" s="45" t="s">
        <v>119</v>
      </c>
      <c r="T2" s="46" t="s">
        <v>120</v>
      </c>
      <c r="U2" s="45" t="s">
        <v>121</v>
      </c>
      <c r="V2" s="46" t="s">
        <v>122</v>
      </c>
      <c r="W2" s="45" t="s">
        <v>123</v>
      </c>
      <c r="X2" s="46" t="s">
        <v>124</v>
      </c>
      <c r="Y2" s="45" t="s">
        <v>125</v>
      </c>
      <c r="Z2" s="46" t="s">
        <v>126</v>
      </c>
      <c r="AA2" s="45" t="s">
        <v>127</v>
      </c>
      <c r="AB2" s="46" t="s">
        <v>128</v>
      </c>
      <c r="AC2" s="45" t="s">
        <v>129</v>
      </c>
      <c r="AD2" s="46" t="s">
        <v>130</v>
      </c>
      <c r="AE2" s="45" t="s">
        <v>131</v>
      </c>
      <c r="AF2" s="46" t="s">
        <v>132</v>
      </c>
      <c r="AG2" s="45" t="s">
        <v>133</v>
      </c>
      <c r="AH2" s="46" t="s">
        <v>134</v>
      </c>
      <c r="AI2" s="45" t="s">
        <v>135</v>
      </c>
      <c r="AJ2" s="46" t="s">
        <v>137</v>
      </c>
      <c r="AK2" s="45" t="s">
        <v>136</v>
      </c>
      <c r="AL2" s="46" t="s">
        <v>138</v>
      </c>
    </row>
    <row r="3" spans="1:38" s="1" customFormat="1" x14ac:dyDescent="0.25">
      <c r="A3" s="119">
        <v>1</v>
      </c>
      <c r="B3" s="25" t="s">
        <v>9</v>
      </c>
      <c r="C3" s="25" t="s">
        <v>262</v>
      </c>
      <c r="D3" s="26">
        <v>41644</v>
      </c>
      <c r="E3" s="26">
        <v>42008</v>
      </c>
      <c r="F3" s="26" t="s">
        <v>6</v>
      </c>
      <c r="G3" s="25" t="s">
        <v>89</v>
      </c>
      <c r="H3" s="25" t="s">
        <v>7</v>
      </c>
      <c r="I3" s="27" t="s">
        <v>139</v>
      </c>
      <c r="J3" s="27" t="s">
        <v>145</v>
      </c>
      <c r="K3" s="27" t="s">
        <v>185</v>
      </c>
      <c r="L3" s="25" t="s">
        <v>78</v>
      </c>
      <c r="M3" s="25" t="s">
        <v>184</v>
      </c>
      <c r="N3" s="25" t="s">
        <v>318</v>
      </c>
      <c r="O3" s="105">
        <v>44932</v>
      </c>
      <c r="P3" s="106">
        <v>5262.92</v>
      </c>
      <c r="Q3" s="105">
        <v>44959</v>
      </c>
      <c r="R3" s="106">
        <v>5223.59</v>
      </c>
      <c r="S3" s="105">
        <v>44987</v>
      </c>
      <c r="T3" s="106">
        <v>4345.88</v>
      </c>
      <c r="U3" s="105">
        <v>45020</v>
      </c>
      <c r="V3" s="106">
        <v>5790.28</v>
      </c>
      <c r="W3" s="105">
        <v>45050</v>
      </c>
      <c r="X3" s="106">
        <v>7438.86</v>
      </c>
      <c r="Y3" s="105">
        <v>45083</v>
      </c>
      <c r="Z3" s="106">
        <v>7189</v>
      </c>
      <c r="AA3" s="105">
        <v>45108</v>
      </c>
      <c r="AB3" s="106">
        <v>8492.84</v>
      </c>
      <c r="AC3" s="105">
        <v>45140</v>
      </c>
      <c r="AD3" s="106">
        <v>8686.35</v>
      </c>
      <c r="AE3" s="105">
        <v>45173</v>
      </c>
      <c r="AF3" s="106">
        <v>7308.96</v>
      </c>
      <c r="AG3" s="105">
        <v>45204</v>
      </c>
      <c r="AH3" s="106">
        <v>10356.129999999999</v>
      </c>
      <c r="AI3" s="105">
        <v>45233</v>
      </c>
      <c r="AJ3" s="106">
        <v>6095.76</v>
      </c>
      <c r="AK3" s="105">
        <v>45261</v>
      </c>
      <c r="AL3" s="106">
        <v>9046.69</v>
      </c>
    </row>
    <row r="4" spans="1:38" s="1" customFormat="1" x14ac:dyDescent="0.25">
      <c r="A4" s="25">
        <v>2</v>
      </c>
      <c r="B4" s="25" t="s">
        <v>24</v>
      </c>
      <c r="C4" s="25" t="s">
        <v>263</v>
      </c>
      <c r="D4" s="26">
        <v>43102</v>
      </c>
      <c r="E4" s="26" t="s">
        <v>181</v>
      </c>
      <c r="F4" s="3" t="s">
        <v>13</v>
      </c>
      <c r="G4" s="25" t="s">
        <v>89</v>
      </c>
      <c r="H4" s="25" t="s">
        <v>7</v>
      </c>
      <c r="I4" s="27">
        <v>580</v>
      </c>
      <c r="J4" s="27" t="s">
        <v>141</v>
      </c>
      <c r="K4" s="27" t="s">
        <v>188</v>
      </c>
      <c r="L4" s="25" t="s">
        <v>78</v>
      </c>
      <c r="M4" s="25"/>
      <c r="N4" s="25" t="s">
        <v>319</v>
      </c>
      <c r="O4" s="105">
        <v>44938</v>
      </c>
      <c r="P4" s="106">
        <v>713.4</v>
      </c>
      <c r="Q4" s="105">
        <v>44974</v>
      </c>
      <c r="R4" s="106">
        <v>713.4</v>
      </c>
      <c r="S4" s="105">
        <v>44988</v>
      </c>
      <c r="T4" s="106">
        <v>713.4</v>
      </c>
      <c r="U4" s="105">
        <v>45022</v>
      </c>
      <c r="V4" s="106">
        <v>713.4</v>
      </c>
      <c r="W4" s="105">
        <v>45050</v>
      </c>
      <c r="X4" s="106">
        <v>713.4</v>
      </c>
      <c r="Y4" s="105">
        <v>45084</v>
      </c>
      <c r="Z4" s="106">
        <v>713.4</v>
      </c>
      <c r="AA4" s="105">
        <v>45114</v>
      </c>
      <c r="AB4" s="106">
        <v>713.4</v>
      </c>
      <c r="AC4" s="105">
        <v>45145</v>
      </c>
      <c r="AD4" s="106">
        <v>713.4</v>
      </c>
      <c r="AE4" s="105">
        <v>45174</v>
      </c>
      <c r="AF4" s="106">
        <v>713.4</v>
      </c>
      <c r="AG4" s="105">
        <v>45208</v>
      </c>
      <c r="AH4" s="106">
        <v>713.4</v>
      </c>
      <c r="AI4" s="105">
        <v>45238</v>
      </c>
      <c r="AJ4" s="106">
        <v>713.4</v>
      </c>
      <c r="AK4" s="105">
        <v>45266</v>
      </c>
      <c r="AL4" s="106">
        <v>713.4</v>
      </c>
    </row>
    <row r="5" spans="1:38" s="1" customFormat="1" x14ac:dyDescent="0.25">
      <c r="A5" s="119">
        <v>3</v>
      </c>
      <c r="B5" s="25" t="s">
        <v>31</v>
      </c>
      <c r="C5" s="25" t="s">
        <v>32</v>
      </c>
      <c r="D5" s="26">
        <v>40568</v>
      </c>
      <c r="E5" s="26">
        <v>43102</v>
      </c>
      <c r="F5" s="26" t="s">
        <v>33</v>
      </c>
      <c r="G5" s="25" t="s">
        <v>89</v>
      </c>
      <c r="H5" s="25" t="s">
        <v>7</v>
      </c>
      <c r="I5" s="27">
        <v>1452.21</v>
      </c>
      <c r="J5" s="27" t="s">
        <v>110</v>
      </c>
      <c r="K5" s="27" t="s">
        <v>189</v>
      </c>
      <c r="L5" s="25" t="s">
        <v>78</v>
      </c>
      <c r="M5" s="25"/>
      <c r="N5" s="25" t="s">
        <v>319</v>
      </c>
      <c r="O5" s="105">
        <v>44930</v>
      </c>
      <c r="P5" s="106">
        <f>998.25+665.5</f>
        <v>1663.75</v>
      </c>
      <c r="Q5" s="105">
        <v>44960</v>
      </c>
      <c r="R5" s="106">
        <f>998.25+665.5</f>
        <v>1663.75</v>
      </c>
      <c r="S5" s="105">
        <v>44993</v>
      </c>
      <c r="T5" s="106">
        <f>998.25+665.5</f>
        <v>1663.75</v>
      </c>
      <c r="U5" s="105">
        <v>45022</v>
      </c>
      <c r="V5" s="106">
        <f>998.25+665.5</f>
        <v>1663.75</v>
      </c>
      <c r="W5" s="105">
        <v>45049</v>
      </c>
      <c r="X5" s="106">
        <f>998.25+665.5</f>
        <v>1663.75</v>
      </c>
      <c r="Y5" s="105">
        <v>45080</v>
      </c>
      <c r="Z5" s="106">
        <f>998.25+665.5</f>
        <v>1663.75</v>
      </c>
      <c r="AA5" s="105">
        <v>45110</v>
      </c>
      <c r="AB5" s="106">
        <f>998.25+665.5</f>
        <v>1663.75</v>
      </c>
      <c r="AC5" s="105">
        <v>45142</v>
      </c>
      <c r="AD5" s="106">
        <f>998.25+665.5</f>
        <v>1663.75</v>
      </c>
      <c r="AE5" s="105">
        <v>45174</v>
      </c>
      <c r="AF5" s="106">
        <f>1247.81+415.94</f>
        <v>1663.75</v>
      </c>
      <c r="AG5" s="105">
        <v>45203</v>
      </c>
      <c r="AH5" s="106">
        <f>1300.61+433.54</f>
        <v>1734.1499999999999</v>
      </c>
      <c r="AI5" s="105">
        <v>45235</v>
      </c>
      <c r="AJ5" s="106">
        <f>1300.61+433.54</f>
        <v>1734.1499999999999</v>
      </c>
      <c r="AK5" s="105">
        <v>45265</v>
      </c>
      <c r="AL5" s="106">
        <f>1300.61+433.54</f>
        <v>1734.1499999999999</v>
      </c>
    </row>
    <row r="6" spans="1:38" s="1" customFormat="1" ht="15.75" thickBot="1" x14ac:dyDescent="0.3">
      <c r="A6" s="25">
        <v>4</v>
      </c>
      <c r="B6" s="25" t="s">
        <v>42</v>
      </c>
      <c r="C6" s="25" t="s">
        <v>214</v>
      </c>
      <c r="D6" s="26">
        <v>43040</v>
      </c>
      <c r="E6" s="26">
        <v>43119</v>
      </c>
      <c r="F6" s="26" t="s">
        <v>28</v>
      </c>
      <c r="G6" s="25" t="s">
        <v>89</v>
      </c>
      <c r="H6" s="25" t="s">
        <v>7</v>
      </c>
      <c r="I6" s="27">
        <v>930.4</v>
      </c>
      <c r="J6" s="27" t="s">
        <v>141</v>
      </c>
      <c r="K6" s="27" t="s">
        <v>190</v>
      </c>
      <c r="L6" s="25" t="s">
        <v>78</v>
      </c>
      <c r="M6" s="25"/>
      <c r="N6" s="25" t="s">
        <v>319</v>
      </c>
      <c r="O6" s="105">
        <v>44949</v>
      </c>
      <c r="P6" s="106">
        <v>997.15</v>
      </c>
      <c r="Q6" s="105">
        <v>44980</v>
      </c>
      <c r="R6" s="106">
        <v>997.15</v>
      </c>
      <c r="S6" s="105">
        <v>45002</v>
      </c>
      <c r="T6" s="106">
        <v>997.15</v>
      </c>
      <c r="U6" s="105">
        <v>45027</v>
      </c>
      <c r="V6" s="106">
        <v>997.15</v>
      </c>
      <c r="W6" s="105">
        <v>45049</v>
      </c>
      <c r="X6" s="106">
        <v>997.15</v>
      </c>
      <c r="Y6" s="105">
        <v>45083</v>
      </c>
      <c r="Z6" s="106">
        <v>997.15</v>
      </c>
      <c r="AA6" s="105">
        <v>45113</v>
      </c>
      <c r="AB6" s="106">
        <v>997.15</v>
      </c>
      <c r="AC6" s="105">
        <v>45140</v>
      </c>
      <c r="AD6" s="106">
        <v>997.15</v>
      </c>
      <c r="AE6" s="105">
        <v>45174</v>
      </c>
      <c r="AF6" s="106">
        <v>997.15</v>
      </c>
      <c r="AG6" s="105">
        <v>45209</v>
      </c>
      <c r="AH6" s="106">
        <v>997.15</v>
      </c>
      <c r="AI6" s="105">
        <v>45257</v>
      </c>
      <c r="AJ6" s="106">
        <v>997.15</v>
      </c>
      <c r="AK6" s="105">
        <v>45265</v>
      </c>
      <c r="AL6" s="106">
        <v>997.15</v>
      </c>
    </row>
    <row r="7" spans="1:38" s="1" customFormat="1" x14ac:dyDescent="0.25">
      <c r="A7" s="119"/>
      <c r="B7" s="25" t="s">
        <v>212</v>
      </c>
      <c r="C7" s="25"/>
      <c r="D7" s="26"/>
      <c r="E7" s="26" t="s">
        <v>181</v>
      </c>
      <c r="F7" s="71" t="s">
        <v>13</v>
      </c>
      <c r="G7" s="79" t="s">
        <v>218</v>
      </c>
      <c r="H7" s="80">
        <v>45597</v>
      </c>
      <c r="I7" s="72"/>
      <c r="J7" s="27"/>
      <c r="K7" s="27"/>
      <c r="L7" s="25" t="s">
        <v>78</v>
      </c>
      <c r="M7" s="25"/>
      <c r="N7" s="25" t="str">
        <f ca="1">IF($H7&lt;TODAY(),"Vencido","OK")</f>
        <v>Vencido</v>
      </c>
      <c r="O7" s="105" t="s">
        <v>181</v>
      </c>
      <c r="P7" s="106" t="s">
        <v>181</v>
      </c>
      <c r="Q7" s="105" t="s">
        <v>181</v>
      </c>
      <c r="R7" s="106" t="s">
        <v>181</v>
      </c>
      <c r="S7" s="105" t="s">
        <v>181</v>
      </c>
      <c r="T7" s="106" t="s">
        <v>181</v>
      </c>
      <c r="U7" s="105" t="s">
        <v>181</v>
      </c>
      <c r="V7" s="106" t="s">
        <v>181</v>
      </c>
      <c r="W7" s="105" t="s">
        <v>181</v>
      </c>
      <c r="X7" s="106" t="s">
        <v>181</v>
      </c>
      <c r="Y7" s="105" t="s">
        <v>181</v>
      </c>
      <c r="Z7" s="106" t="s">
        <v>181</v>
      </c>
      <c r="AA7" s="105" t="s">
        <v>181</v>
      </c>
      <c r="AB7" s="106" t="s">
        <v>181</v>
      </c>
      <c r="AC7" s="105" t="s">
        <v>181</v>
      </c>
      <c r="AD7" s="106" t="s">
        <v>181</v>
      </c>
      <c r="AE7" s="105" t="s">
        <v>181</v>
      </c>
      <c r="AF7" s="106" t="s">
        <v>181</v>
      </c>
      <c r="AG7" s="105" t="s">
        <v>181</v>
      </c>
      <c r="AH7" s="106" t="s">
        <v>181</v>
      </c>
      <c r="AI7" s="105" t="s">
        <v>181</v>
      </c>
      <c r="AJ7" s="106" t="s">
        <v>181</v>
      </c>
      <c r="AK7" s="105" t="s">
        <v>181</v>
      </c>
      <c r="AL7" s="106" t="s">
        <v>181</v>
      </c>
    </row>
    <row r="8" spans="1:38" s="1" customFormat="1" ht="15.75" thickBot="1" x14ac:dyDescent="0.3">
      <c r="A8" s="25"/>
      <c r="B8" s="25" t="s">
        <v>213</v>
      </c>
      <c r="C8" s="25"/>
      <c r="D8" s="26">
        <v>43405</v>
      </c>
      <c r="E8" s="26" t="s">
        <v>181</v>
      </c>
      <c r="F8" s="71" t="s">
        <v>28</v>
      </c>
      <c r="G8" s="76" t="s">
        <v>218</v>
      </c>
      <c r="H8" s="77">
        <v>45626</v>
      </c>
      <c r="I8" s="72"/>
      <c r="J8" s="27"/>
      <c r="K8" s="27"/>
      <c r="L8" s="25" t="s">
        <v>78</v>
      </c>
      <c r="M8" s="25"/>
      <c r="N8" s="25" t="str">
        <f ca="1">IF($H8&lt;TODAY(),"Vencido","OK")</f>
        <v>Vencido</v>
      </c>
      <c r="O8" s="105" t="s">
        <v>181</v>
      </c>
      <c r="P8" s="106" t="s">
        <v>181</v>
      </c>
      <c r="Q8" s="105" t="s">
        <v>181</v>
      </c>
      <c r="R8" s="106" t="s">
        <v>181</v>
      </c>
      <c r="S8" s="105" t="s">
        <v>181</v>
      </c>
      <c r="T8" s="106" t="s">
        <v>181</v>
      </c>
      <c r="U8" s="105" t="s">
        <v>181</v>
      </c>
      <c r="V8" s="106" t="s">
        <v>181</v>
      </c>
      <c r="W8" s="105" t="s">
        <v>181</v>
      </c>
      <c r="X8" s="106" t="s">
        <v>181</v>
      </c>
      <c r="Y8" s="105" t="s">
        <v>181</v>
      </c>
      <c r="Z8" s="106" t="s">
        <v>181</v>
      </c>
      <c r="AA8" s="105" t="s">
        <v>181</v>
      </c>
      <c r="AB8" s="106" t="s">
        <v>181</v>
      </c>
      <c r="AC8" s="105" t="s">
        <v>181</v>
      </c>
      <c r="AD8" s="106" t="s">
        <v>181</v>
      </c>
      <c r="AE8" s="105" t="s">
        <v>181</v>
      </c>
      <c r="AF8" s="106" t="s">
        <v>181</v>
      </c>
      <c r="AG8" s="105" t="s">
        <v>181</v>
      </c>
      <c r="AH8" s="106" t="s">
        <v>181</v>
      </c>
      <c r="AI8" s="105" t="s">
        <v>181</v>
      </c>
      <c r="AJ8" s="106" t="s">
        <v>181</v>
      </c>
      <c r="AK8" s="105" t="s">
        <v>181</v>
      </c>
      <c r="AL8" s="106" t="s">
        <v>181</v>
      </c>
    </row>
    <row r="9" spans="1:38" s="1" customFormat="1" ht="15.75" thickBot="1" x14ac:dyDescent="0.3">
      <c r="A9" s="119">
        <v>5</v>
      </c>
      <c r="B9" s="25" t="s">
        <v>323</v>
      </c>
      <c r="C9" s="25" t="s">
        <v>232</v>
      </c>
      <c r="D9" s="26">
        <v>43616</v>
      </c>
      <c r="E9" s="26"/>
      <c r="F9" s="71" t="s">
        <v>13</v>
      </c>
      <c r="G9" s="91" t="s">
        <v>89</v>
      </c>
      <c r="H9" s="92" t="s">
        <v>7</v>
      </c>
      <c r="I9" s="72">
        <v>202</v>
      </c>
      <c r="J9" s="27" t="s">
        <v>145</v>
      </c>
      <c r="K9" s="27" t="s">
        <v>324</v>
      </c>
      <c r="L9" s="25" t="s">
        <v>78</v>
      </c>
      <c r="M9" s="25"/>
      <c r="N9" s="25" t="s">
        <v>319</v>
      </c>
      <c r="O9" s="105">
        <v>44928</v>
      </c>
      <c r="P9" s="106">
        <v>447.23</v>
      </c>
      <c r="Q9" s="105">
        <v>44959</v>
      </c>
      <c r="R9" s="106">
        <v>447.23</v>
      </c>
      <c r="S9" s="105">
        <v>44987</v>
      </c>
      <c r="T9" s="106">
        <v>447.23</v>
      </c>
      <c r="U9" s="105">
        <v>45019</v>
      </c>
      <c r="V9" s="106">
        <v>447.23</v>
      </c>
      <c r="W9" s="105">
        <v>45049</v>
      </c>
      <c r="X9" s="106">
        <v>447.23</v>
      </c>
      <c r="Y9" s="105">
        <v>45079</v>
      </c>
      <c r="Z9" s="106">
        <v>447.23</v>
      </c>
      <c r="AA9" s="105">
        <v>45109</v>
      </c>
      <c r="AB9" s="106">
        <v>447.23</v>
      </c>
      <c r="AC9" s="105">
        <v>45139</v>
      </c>
      <c r="AD9" s="106">
        <v>447.23</v>
      </c>
      <c r="AE9" s="105">
        <v>45173</v>
      </c>
      <c r="AF9" s="106">
        <v>543.85</v>
      </c>
      <c r="AG9" s="105">
        <v>45202</v>
      </c>
      <c r="AH9" s="106">
        <v>663</v>
      </c>
      <c r="AI9" s="105">
        <v>45231</v>
      </c>
      <c r="AJ9" s="106">
        <v>759.62</v>
      </c>
      <c r="AK9" s="105">
        <v>45264</v>
      </c>
      <c r="AL9" s="106">
        <v>663</v>
      </c>
    </row>
    <row r="10" spans="1:38" s="1" customFormat="1" x14ac:dyDescent="0.25">
      <c r="A10" s="25"/>
      <c r="B10" s="25" t="s">
        <v>212</v>
      </c>
      <c r="C10" s="25"/>
      <c r="D10" s="26"/>
      <c r="E10" s="26" t="s">
        <v>181</v>
      </c>
      <c r="F10" s="71" t="s">
        <v>13</v>
      </c>
      <c r="G10" s="79" t="s">
        <v>218</v>
      </c>
      <c r="H10" s="80">
        <v>45548</v>
      </c>
      <c r="I10" s="72"/>
      <c r="J10" s="27"/>
      <c r="K10" s="27"/>
      <c r="L10" s="25" t="s">
        <v>78</v>
      </c>
      <c r="M10" s="25"/>
      <c r="N10" s="25" t="str">
        <f ca="1">IF($H10&lt;TODAY(),"Vencido","OK")</f>
        <v>Vencido</v>
      </c>
      <c r="O10" s="105" t="s">
        <v>181</v>
      </c>
      <c r="P10" s="106" t="s">
        <v>181</v>
      </c>
      <c r="Q10" s="105" t="s">
        <v>181</v>
      </c>
      <c r="R10" s="106" t="s">
        <v>181</v>
      </c>
      <c r="S10" s="105" t="s">
        <v>181</v>
      </c>
      <c r="T10" s="106" t="s">
        <v>181</v>
      </c>
      <c r="U10" s="105" t="s">
        <v>181</v>
      </c>
      <c r="V10" s="106" t="s">
        <v>181</v>
      </c>
      <c r="W10" s="105" t="s">
        <v>181</v>
      </c>
      <c r="X10" s="106" t="s">
        <v>181</v>
      </c>
      <c r="Y10" s="105" t="s">
        <v>181</v>
      </c>
      <c r="Z10" s="106" t="s">
        <v>181</v>
      </c>
      <c r="AA10" s="105" t="s">
        <v>181</v>
      </c>
      <c r="AB10" s="106" t="s">
        <v>181</v>
      </c>
      <c r="AC10" s="105" t="s">
        <v>181</v>
      </c>
      <c r="AD10" s="106" t="s">
        <v>181</v>
      </c>
      <c r="AE10" s="105" t="s">
        <v>181</v>
      </c>
      <c r="AF10" s="106" t="s">
        <v>181</v>
      </c>
      <c r="AG10" s="105" t="s">
        <v>181</v>
      </c>
      <c r="AH10" s="106" t="s">
        <v>181</v>
      </c>
      <c r="AI10" s="105" t="s">
        <v>181</v>
      </c>
      <c r="AJ10" s="106" t="s">
        <v>181</v>
      </c>
      <c r="AK10" s="105" t="s">
        <v>181</v>
      </c>
      <c r="AL10" s="106" t="s">
        <v>181</v>
      </c>
    </row>
    <row r="11" spans="1:38" s="1" customFormat="1" ht="15.75" thickBot="1" x14ac:dyDescent="0.3">
      <c r="A11" s="119"/>
      <c r="B11" s="25" t="s">
        <v>213</v>
      </c>
      <c r="C11" s="25"/>
      <c r="D11" s="26">
        <v>43405</v>
      </c>
      <c r="E11" s="26" t="s">
        <v>181</v>
      </c>
      <c r="F11" s="71" t="s">
        <v>28</v>
      </c>
      <c r="G11" s="76" t="s">
        <v>218</v>
      </c>
      <c r="H11" s="77">
        <v>45548</v>
      </c>
      <c r="I11" s="72"/>
      <c r="J11" s="27"/>
      <c r="K11" s="27"/>
      <c r="L11" s="25" t="s">
        <v>78</v>
      </c>
      <c r="M11" s="25"/>
      <c r="N11" s="25" t="str">
        <f ca="1">IF($H11&lt;TODAY(),"Vencido","OK")</f>
        <v>Vencido</v>
      </c>
      <c r="O11" s="105" t="s">
        <v>181</v>
      </c>
      <c r="P11" s="106" t="s">
        <v>181</v>
      </c>
      <c r="Q11" s="105" t="s">
        <v>181</v>
      </c>
      <c r="R11" s="106" t="s">
        <v>181</v>
      </c>
      <c r="S11" s="105" t="s">
        <v>181</v>
      </c>
      <c r="T11" s="106" t="s">
        <v>181</v>
      </c>
      <c r="U11" s="105" t="s">
        <v>181</v>
      </c>
      <c r="V11" s="106" t="s">
        <v>181</v>
      </c>
      <c r="W11" s="105" t="s">
        <v>181</v>
      </c>
      <c r="X11" s="106" t="s">
        <v>181</v>
      </c>
      <c r="Y11" s="105" t="s">
        <v>181</v>
      </c>
      <c r="Z11" s="106" t="s">
        <v>181</v>
      </c>
      <c r="AA11" s="105" t="s">
        <v>181</v>
      </c>
      <c r="AB11" s="106" t="s">
        <v>181</v>
      </c>
      <c r="AC11" s="105" t="s">
        <v>181</v>
      </c>
      <c r="AD11" s="106" t="s">
        <v>181</v>
      </c>
      <c r="AE11" s="105" t="s">
        <v>181</v>
      </c>
      <c r="AF11" s="106" t="s">
        <v>181</v>
      </c>
      <c r="AG11" s="105" t="s">
        <v>181</v>
      </c>
      <c r="AH11" s="106" t="s">
        <v>181</v>
      </c>
      <c r="AI11" s="105" t="s">
        <v>181</v>
      </c>
      <c r="AJ11" s="106" t="s">
        <v>181</v>
      </c>
      <c r="AK11" s="105" t="s">
        <v>181</v>
      </c>
      <c r="AL11" s="106" t="s">
        <v>181</v>
      </c>
    </row>
    <row r="12" spans="1:38" s="1" customFormat="1" ht="15.75" thickBot="1" x14ac:dyDescent="0.3">
      <c r="A12" s="119">
        <v>6</v>
      </c>
      <c r="B12" s="25" t="s">
        <v>44</v>
      </c>
      <c r="C12" s="25" t="s">
        <v>86</v>
      </c>
      <c r="D12" s="26">
        <v>38979</v>
      </c>
      <c r="E12" s="26" t="s">
        <v>181</v>
      </c>
      <c r="F12" s="26" t="s">
        <v>6</v>
      </c>
      <c r="G12" s="73" t="s">
        <v>89</v>
      </c>
      <c r="H12" s="73" t="s">
        <v>211</v>
      </c>
      <c r="I12" s="27">
        <v>1230.56</v>
      </c>
      <c r="J12" s="27" t="s">
        <v>110</v>
      </c>
      <c r="K12" s="27" t="s">
        <v>192</v>
      </c>
      <c r="L12" s="25" t="s">
        <v>78</v>
      </c>
      <c r="M12" s="25"/>
      <c r="N12" s="25" t="s">
        <v>319</v>
      </c>
      <c r="O12" s="105">
        <v>44931</v>
      </c>
      <c r="P12" s="106">
        <v>1975.26</v>
      </c>
      <c r="Q12" s="105">
        <v>44960</v>
      </c>
      <c r="R12" s="106">
        <v>1975.26</v>
      </c>
      <c r="S12" s="105">
        <v>44991</v>
      </c>
      <c r="T12" s="106">
        <v>1975.56</v>
      </c>
      <c r="U12" s="105">
        <v>45022</v>
      </c>
      <c r="V12" s="106">
        <v>1975.56</v>
      </c>
      <c r="W12" s="105">
        <v>45051</v>
      </c>
      <c r="X12" s="106">
        <v>1975.56</v>
      </c>
      <c r="Y12" s="105">
        <v>45082</v>
      </c>
      <c r="Z12" s="106">
        <v>1975.56</v>
      </c>
      <c r="AA12" s="105">
        <v>45113</v>
      </c>
      <c r="AB12" s="106">
        <v>1975.56</v>
      </c>
      <c r="AC12" s="105">
        <v>45142</v>
      </c>
      <c r="AD12" s="106">
        <v>1975.56</v>
      </c>
      <c r="AE12" s="105">
        <v>45181</v>
      </c>
      <c r="AF12" s="106">
        <v>1975.56</v>
      </c>
      <c r="AG12" s="105">
        <v>45204</v>
      </c>
      <c r="AH12" s="106">
        <v>1975.56</v>
      </c>
      <c r="AI12" s="105">
        <v>45231</v>
      </c>
      <c r="AJ12" s="106">
        <v>1975.56</v>
      </c>
      <c r="AK12" s="105">
        <v>45264</v>
      </c>
      <c r="AL12" s="106">
        <v>1975.56</v>
      </c>
    </row>
    <row r="13" spans="1:38" s="1" customFormat="1" x14ac:dyDescent="0.25">
      <c r="A13" s="25"/>
      <c r="B13" s="25" t="s">
        <v>212</v>
      </c>
      <c r="C13" s="25"/>
      <c r="D13" s="26">
        <v>43530</v>
      </c>
      <c r="E13" s="26" t="s">
        <v>181</v>
      </c>
      <c r="F13" s="71" t="s">
        <v>13</v>
      </c>
      <c r="G13" s="74" t="s">
        <v>218</v>
      </c>
      <c r="H13" s="75">
        <v>45260</v>
      </c>
      <c r="I13" s="72"/>
      <c r="J13" s="27"/>
      <c r="K13" s="27"/>
      <c r="L13" s="25" t="s">
        <v>78</v>
      </c>
      <c r="M13" s="25"/>
      <c r="N13" s="25" t="str">
        <f ca="1">IF($H13&lt;TODAY(),"Vencido","OK")</f>
        <v>Vencido</v>
      </c>
      <c r="O13" s="105" t="s">
        <v>181</v>
      </c>
      <c r="P13" s="106" t="s">
        <v>181</v>
      </c>
      <c r="Q13" s="105" t="s">
        <v>181</v>
      </c>
      <c r="R13" s="106" t="s">
        <v>181</v>
      </c>
      <c r="S13" s="105" t="s">
        <v>181</v>
      </c>
      <c r="T13" s="106" t="s">
        <v>181</v>
      </c>
      <c r="U13" s="105" t="s">
        <v>181</v>
      </c>
      <c r="V13" s="106" t="s">
        <v>181</v>
      </c>
      <c r="W13" s="105" t="s">
        <v>181</v>
      </c>
      <c r="X13" s="106" t="s">
        <v>181</v>
      </c>
      <c r="Y13" s="105" t="s">
        <v>181</v>
      </c>
      <c r="Z13" s="106" t="s">
        <v>181</v>
      </c>
      <c r="AA13" s="105" t="s">
        <v>181</v>
      </c>
      <c r="AB13" s="106" t="s">
        <v>181</v>
      </c>
      <c r="AC13" s="105" t="s">
        <v>181</v>
      </c>
      <c r="AD13" s="106" t="s">
        <v>181</v>
      </c>
      <c r="AE13" s="105" t="s">
        <v>181</v>
      </c>
      <c r="AF13" s="106" t="s">
        <v>181</v>
      </c>
      <c r="AG13" s="105" t="s">
        <v>181</v>
      </c>
      <c r="AH13" s="106" t="s">
        <v>181</v>
      </c>
      <c r="AI13" s="105" t="s">
        <v>181</v>
      </c>
      <c r="AJ13" s="106" t="s">
        <v>181</v>
      </c>
      <c r="AK13" s="105" t="s">
        <v>181</v>
      </c>
      <c r="AL13" s="106" t="s">
        <v>181</v>
      </c>
    </row>
    <row r="14" spans="1:38" s="1" customFormat="1" ht="15.75" thickBot="1" x14ac:dyDescent="0.3">
      <c r="A14" s="119"/>
      <c r="B14" s="25" t="s">
        <v>213</v>
      </c>
      <c r="C14" s="25"/>
      <c r="D14" s="26">
        <v>43344</v>
      </c>
      <c r="E14" s="26" t="s">
        <v>181</v>
      </c>
      <c r="F14" s="71" t="s">
        <v>13</v>
      </c>
      <c r="G14" s="76" t="s">
        <v>218</v>
      </c>
      <c r="H14" s="77">
        <v>45535</v>
      </c>
      <c r="I14" s="72"/>
      <c r="J14" s="27"/>
      <c r="K14" s="27"/>
      <c r="L14" s="25" t="s">
        <v>78</v>
      </c>
      <c r="M14" s="25"/>
      <c r="N14" s="25" t="str">
        <f ca="1">IF($H14&lt;TODAY(),"Vencido","OK")</f>
        <v>Vencido</v>
      </c>
      <c r="O14" s="105" t="s">
        <v>181</v>
      </c>
      <c r="P14" s="106" t="s">
        <v>181</v>
      </c>
      <c r="Q14" s="105" t="s">
        <v>181</v>
      </c>
      <c r="R14" s="106" t="s">
        <v>181</v>
      </c>
      <c r="S14" s="105" t="s">
        <v>181</v>
      </c>
      <c r="T14" s="106" t="s">
        <v>181</v>
      </c>
      <c r="U14" s="105" t="s">
        <v>181</v>
      </c>
      <c r="V14" s="106" t="s">
        <v>181</v>
      </c>
      <c r="W14" s="105" t="s">
        <v>181</v>
      </c>
      <c r="X14" s="106" t="s">
        <v>181</v>
      </c>
      <c r="Y14" s="105" t="s">
        <v>181</v>
      </c>
      <c r="Z14" s="106" t="s">
        <v>181</v>
      </c>
      <c r="AA14" s="105" t="s">
        <v>181</v>
      </c>
      <c r="AB14" s="106" t="s">
        <v>181</v>
      </c>
      <c r="AC14" s="105" t="s">
        <v>181</v>
      </c>
      <c r="AD14" s="106" t="s">
        <v>181</v>
      </c>
      <c r="AE14" s="105" t="s">
        <v>181</v>
      </c>
      <c r="AF14" s="106" t="s">
        <v>181</v>
      </c>
      <c r="AG14" s="105" t="s">
        <v>181</v>
      </c>
      <c r="AH14" s="106" t="s">
        <v>181</v>
      </c>
      <c r="AI14" s="105" t="s">
        <v>181</v>
      </c>
      <c r="AJ14" s="106" t="s">
        <v>181</v>
      </c>
      <c r="AK14" s="105" t="s">
        <v>181</v>
      </c>
      <c r="AL14" s="106" t="s">
        <v>181</v>
      </c>
    </row>
    <row r="15" spans="1:38" s="1" customFormat="1" x14ac:dyDescent="0.25">
      <c r="A15" s="25">
        <v>7</v>
      </c>
      <c r="B15" s="25" t="s">
        <v>230</v>
      </c>
      <c r="C15" s="25" t="s">
        <v>264</v>
      </c>
      <c r="D15" s="26">
        <v>43115</v>
      </c>
      <c r="E15" s="26" t="s">
        <v>181</v>
      </c>
      <c r="F15" s="71" t="s">
        <v>216</v>
      </c>
      <c r="G15" s="25" t="s">
        <v>217</v>
      </c>
      <c r="H15" s="25" t="s">
        <v>181</v>
      </c>
      <c r="I15" s="72">
        <v>3500</v>
      </c>
      <c r="J15" s="27" t="s">
        <v>140</v>
      </c>
      <c r="K15" s="27" t="s">
        <v>191</v>
      </c>
      <c r="L15" s="25" t="s">
        <v>78</v>
      </c>
      <c r="M15" s="25"/>
      <c r="N15" s="25" t="s">
        <v>319</v>
      </c>
      <c r="O15" s="105">
        <v>44942</v>
      </c>
      <c r="P15" s="106">
        <v>2500</v>
      </c>
      <c r="Q15" s="105">
        <v>44960</v>
      </c>
      <c r="R15" s="106">
        <v>2500</v>
      </c>
      <c r="S15" s="105">
        <v>44992</v>
      </c>
      <c r="T15" s="106">
        <v>2500</v>
      </c>
      <c r="U15" s="105">
        <v>45020</v>
      </c>
      <c r="V15" s="106">
        <v>2500</v>
      </c>
      <c r="W15" s="105">
        <v>45054</v>
      </c>
      <c r="X15" s="106">
        <v>2500</v>
      </c>
      <c r="Y15" s="105">
        <v>45084</v>
      </c>
      <c r="Z15" s="106">
        <v>2500</v>
      </c>
      <c r="AA15" s="105">
        <v>45111</v>
      </c>
      <c r="AB15" s="106">
        <v>2500</v>
      </c>
      <c r="AC15" s="105">
        <v>45145</v>
      </c>
      <c r="AD15" s="106">
        <v>2500</v>
      </c>
      <c r="AE15" s="105">
        <v>45180</v>
      </c>
      <c r="AF15" s="106">
        <v>2500</v>
      </c>
      <c r="AG15" s="105">
        <v>45202</v>
      </c>
      <c r="AH15" s="106">
        <v>2500</v>
      </c>
      <c r="AI15" s="105">
        <v>45239</v>
      </c>
      <c r="AJ15" s="106">
        <v>2500</v>
      </c>
      <c r="AK15" s="105">
        <v>45266</v>
      </c>
      <c r="AL15" s="106">
        <v>2500</v>
      </c>
    </row>
    <row r="16" spans="1:38" s="1" customFormat="1" x14ac:dyDescent="0.25">
      <c r="A16" s="25">
        <v>8</v>
      </c>
      <c r="B16" s="25" t="s">
        <v>265</v>
      </c>
      <c r="C16" s="25" t="s">
        <v>268</v>
      </c>
      <c r="D16" s="26" t="s">
        <v>181</v>
      </c>
      <c r="E16" s="26" t="s">
        <v>181</v>
      </c>
      <c r="F16" s="26">
        <v>44013</v>
      </c>
      <c r="G16" s="78"/>
      <c r="H16" s="78" t="s">
        <v>181</v>
      </c>
      <c r="I16" s="27">
        <v>2253.75</v>
      </c>
      <c r="J16" s="27" t="s">
        <v>111</v>
      </c>
      <c r="K16" s="27" t="s">
        <v>267</v>
      </c>
      <c r="L16" s="25" t="s">
        <v>78</v>
      </c>
      <c r="M16" s="25" t="s">
        <v>154</v>
      </c>
      <c r="N16" s="25" t="s">
        <v>319</v>
      </c>
      <c r="O16" s="105">
        <v>44942</v>
      </c>
      <c r="P16" s="106">
        <v>1009.74</v>
      </c>
      <c r="Q16" s="105">
        <v>44970</v>
      </c>
      <c r="R16" s="106">
        <v>980</v>
      </c>
      <c r="S16" s="105">
        <v>44995</v>
      </c>
      <c r="T16" s="106">
        <v>980</v>
      </c>
      <c r="U16" s="105">
        <v>45029</v>
      </c>
      <c r="V16" s="106">
        <v>980</v>
      </c>
      <c r="W16" s="105">
        <v>45059</v>
      </c>
      <c r="X16" s="106">
        <v>980</v>
      </c>
      <c r="Y16" s="105">
        <v>45086</v>
      </c>
      <c r="Z16" s="106">
        <v>980</v>
      </c>
      <c r="AA16" s="105">
        <v>45116</v>
      </c>
      <c r="AB16" s="106">
        <v>980</v>
      </c>
      <c r="AC16" s="105">
        <v>45148</v>
      </c>
      <c r="AD16" s="106">
        <v>980</v>
      </c>
      <c r="AE16" s="105">
        <v>45182</v>
      </c>
      <c r="AF16" s="106">
        <v>980</v>
      </c>
      <c r="AG16" s="105">
        <v>45209</v>
      </c>
      <c r="AH16" s="106">
        <v>980</v>
      </c>
      <c r="AI16" s="105">
        <v>45239</v>
      </c>
      <c r="AJ16" s="106">
        <v>980</v>
      </c>
      <c r="AK16" s="105">
        <v>45645</v>
      </c>
      <c r="AL16" s="106">
        <v>980</v>
      </c>
    </row>
    <row r="17" spans="1:38" s="1" customFormat="1" x14ac:dyDescent="0.25">
      <c r="A17" s="25">
        <v>9</v>
      </c>
      <c r="B17" s="2" t="s">
        <v>95</v>
      </c>
      <c r="C17" s="2" t="s">
        <v>96</v>
      </c>
      <c r="D17" s="3">
        <v>41459</v>
      </c>
      <c r="E17" s="26" t="s">
        <v>181</v>
      </c>
      <c r="F17" s="3" t="s">
        <v>6</v>
      </c>
      <c r="G17" s="2" t="s">
        <v>6</v>
      </c>
      <c r="H17" s="2" t="s">
        <v>181</v>
      </c>
      <c r="I17" s="4">
        <v>260</v>
      </c>
      <c r="J17" s="4" t="s">
        <v>147</v>
      </c>
      <c r="K17" s="4" t="s">
        <v>193</v>
      </c>
      <c r="L17" s="2" t="s">
        <v>78</v>
      </c>
      <c r="M17" s="68" t="s">
        <v>215</v>
      </c>
      <c r="N17" s="68" t="s">
        <v>318</v>
      </c>
      <c r="O17" s="152" t="s">
        <v>314</v>
      </c>
      <c r="P17" s="152" t="s">
        <v>314</v>
      </c>
      <c r="Q17" s="152">
        <v>44970</v>
      </c>
      <c r="R17" s="153">
        <v>1020</v>
      </c>
      <c r="S17" s="152" t="s">
        <v>321</v>
      </c>
      <c r="T17" s="152" t="s">
        <v>321</v>
      </c>
      <c r="U17" s="152" t="s">
        <v>321</v>
      </c>
      <c r="V17" s="152" t="s">
        <v>321</v>
      </c>
      <c r="W17" s="152" t="s">
        <v>321</v>
      </c>
      <c r="X17" s="152" t="s">
        <v>321</v>
      </c>
      <c r="Y17" s="152" t="s">
        <v>321</v>
      </c>
      <c r="Z17" s="152" t="s">
        <v>321</v>
      </c>
      <c r="AA17" s="152" t="s">
        <v>321</v>
      </c>
      <c r="AB17" s="152" t="s">
        <v>321</v>
      </c>
      <c r="AC17" s="152" t="s">
        <v>321</v>
      </c>
      <c r="AD17" s="152" t="s">
        <v>321</v>
      </c>
      <c r="AE17" s="152" t="s">
        <v>321</v>
      </c>
      <c r="AF17" s="152" t="s">
        <v>321</v>
      </c>
      <c r="AG17" s="152" t="s">
        <v>321</v>
      </c>
      <c r="AH17" s="152" t="s">
        <v>321</v>
      </c>
      <c r="AI17" s="152" t="s">
        <v>321</v>
      </c>
      <c r="AJ17" s="152" t="s">
        <v>321</v>
      </c>
      <c r="AK17" s="105" t="s">
        <v>325</v>
      </c>
      <c r="AL17" s="105" t="s">
        <v>325</v>
      </c>
    </row>
    <row r="18" spans="1:38" s="1" customFormat="1" x14ac:dyDescent="0.25">
      <c r="A18" s="25">
        <v>10</v>
      </c>
      <c r="B18" s="2" t="s">
        <v>150</v>
      </c>
      <c r="C18" s="2" t="s">
        <v>151</v>
      </c>
      <c r="D18" s="3">
        <v>43060</v>
      </c>
      <c r="E18" s="26" t="s">
        <v>181</v>
      </c>
      <c r="F18" s="3" t="s">
        <v>28</v>
      </c>
      <c r="G18" s="2" t="s">
        <v>217</v>
      </c>
      <c r="H18" s="2" t="s">
        <v>15</v>
      </c>
      <c r="I18" s="4">
        <v>4500</v>
      </c>
      <c r="J18" s="27" t="s">
        <v>110</v>
      </c>
      <c r="K18" s="27" t="s">
        <v>194</v>
      </c>
      <c r="L18" s="2" t="s">
        <v>78</v>
      </c>
      <c r="M18" s="2"/>
      <c r="N18" s="2" t="s">
        <v>319</v>
      </c>
      <c r="O18" s="105">
        <v>44928</v>
      </c>
      <c r="P18" s="103">
        <v>7000</v>
      </c>
      <c r="Q18" s="105">
        <v>44960</v>
      </c>
      <c r="R18" s="106">
        <v>7000</v>
      </c>
      <c r="S18" s="105">
        <v>44986</v>
      </c>
      <c r="T18" s="106">
        <v>7405.46</v>
      </c>
      <c r="U18" s="105">
        <v>45019</v>
      </c>
      <c r="V18" s="106">
        <v>7405.46</v>
      </c>
      <c r="W18" s="105">
        <v>45048</v>
      </c>
      <c r="X18" s="106">
        <v>7405.46</v>
      </c>
      <c r="Y18" s="105">
        <v>45078</v>
      </c>
      <c r="Z18" s="106">
        <v>7405.46</v>
      </c>
      <c r="AA18" s="105">
        <v>45108</v>
      </c>
      <c r="AB18" s="106">
        <v>7405.46</v>
      </c>
      <c r="AC18" s="105">
        <v>45139</v>
      </c>
      <c r="AD18" s="106">
        <v>7405.46</v>
      </c>
      <c r="AE18" s="105">
        <v>45173</v>
      </c>
      <c r="AF18" s="106">
        <v>7405.46</v>
      </c>
      <c r="AG18" s="105">
        <v>45201</v>
      </c>
      <c r="AH18" s="106">
        <v>7405.46</v>
      </c>
      <c r="AI18" s="105">
        <v>45231</v>
      </c>
      <c r="AJ18" s="106">
        <v>7405.46</v>
      </c>
      <c r="AK18" s="105">
        <v>45261</v>
      </c>
      <c r="AL18" s="106">
        <v>7405.46</v>
      </c>
    </row>
    <row r="19" spans="1:38" s="1" customFormat="1" x14ac:dyDescent="0.25">
      <c r="A19" s="25">
        <v>11</v>
      </c>
      <c r="B19" s="2" t="s">
        <v>310</v>
      </c>
      <c r="C19" s="2" t="s">
        <v>159</v>
      </c>
      <c r="D19" s="3" t="s">
        <v>181</v>
      </c>
      <c r="E19" s="26" t="s">
        <v>181</v>
      </c>
      <c r="F19" s="3" t="s">
        <v>181</v>
      </c>
      <c r="G19" s="2" t="s">
        <v>181</v>
      </c>
      <c r="H19" s="2" t="s">
        <v>181</v>
      </c>
      <c r="I19" s="4">
        <v>1132.8499999999999</v>
      </c>
      <c r="J19" s="27" t="s">
        <v>140</v>
      </c>
      <c r="K19" s="27" t="s">
        <v>185</v>
      </c>
      <c r="L19" s="2" t="s">
        <v>78</v>
      </c>
      <c r="M19" s="2"/>
      <c r="N19" s="2" t="s">
        <v>319</v>
      </c>
      <c r="O19" s="105">
        <v>44936</v>
      </c>
      <c r="P19" s="106">
        <f>1767.92+58.93</f>
        <v>1826.8500000000001</v>
      </c>
      <c r="Q19" s="105">
        <v>44964</v>
      </c>
      <c r="R19" s="106">
        <f>1767.92+58.93</f>
        <v>1826.8500000000001</v>
      </c>
      <c r="S19" s="105">
        <v>44994</v>
      </c>
      <c r="T19" s="106">
        <f>1767.92+58.93</f>
        <v>1826.8500000000001</v>
      </c>
      <c r="U19" s="105">
        <v>45026</v>
      </c>
      <c r="V19" s="106">
        <f>1767.92+58.93</f>
        <v>1826.8500000000001</v>
      </c>
      <c r="W19" s="105">
        <v>45050</v>
      </c>
      <c r="X19" s="106">
        <f>1767.92+58.93</f>
        <v>1826.8500000000001</v>
      </c>
      <c r="Y19" s="105">
        <v>45083</v>
      </c>
      <c r="Z19" s="106">
        <f>1767.92+58.93</f>
        <v>1826.8500000000001</v>
      </c>
      <c r="AA19" s="105">
        <v>45113</v>
      </c>
      <c r="AB19" s="106">
        <f>1767.92+58.93</f>
        <v>1826.8500000000001</v>
      </c>
      <c r="AC19" s="105">
        <v>45149</v>
      </c>
      <c r="AD19" s="106">
        <f>1767.92+58.93</f>
        <v>1826.8500000000001</v>
      </c>
      <c r="AE19" s="105">
        <v>45174</v>
      </c>
      <c r="AF19" s="106">
        <f>1767.92+58.93</f>
        <v>1826.8500000000001</v>
      </c>
      <c r="AG19" s="105">
        <v>45204</v>
      </c>
      <c r="AH19" s="106">
        <f>1767.92+58.93</f>
        <v>1826.8500000000001</v>
      </c>
      <c r="AI19" s="105">
        <v>45238</v>
      </c>
      <c r="AJ19" s="106">
        <f>1767.92+58.93</f>
        <v>1826.8500000000001</v>
      </c>
      <c r="AK19" s="105">
        <v>45267</v>
      </c>
      <c r="AL19" s="106">
        <f>1768.38+58.93</f>
        <v>1827.3100000000002</v>
      </c>
    </row>
    <row r="20" spans="1:38" s="1" customFormat="1" x14ac:dyDescent="0.25">
      <c r="A20" s="25">
        <v>12</v>
      </c>
      <c r="B20" s="2" t="s">
        <v>37</v>
      </c>
      <c r="C20" s="2" t="s">
        <v>172</v>
      </c>
      <c r="D20" s="3">
        <v>34719</v>
      </c>
      <c r="E20" s="115" t="s">
        <v>273</v>
      </c>
      <c r="F20" s="3"/>
      <c r="G20" s="68" t="s">
        <v>277</v>
      </c>
      <c r="H20" s="2" t="s">
        <v>181</v>
      </c>
      <c r="I20" s="4" t="s">
        <v>139</v>
      </c>
      <c r="J20" s="4" t="s">
        <v>170</v>
      </c>
      <c r="K20" s="4" t="s">
        <v>195</v>
      </c>
      <c r="L20" s="2" t="s">
        <v>78</v>
      </c>
      <c r="M20" s="2"/>
      <c r="N20" s="2" t="s">
        <v>320</v>
      </c>
      <c r="O20" s="105" t="s">
        <v>181</v>
      </c>
      <c r="P20" s="106" t="s">
        <v>181</v>
      </c>
      <c r="Q20" s="105" t="s">
        <v>181</v>
      </c>
      <c r="R20" s="106" t="s">
        <v>181</v>
      </c>
      <c r="S20" s="105" t="s">
        <v>181</v>
      </c>
      <c r="T20" s="106" t="s">
        <v>181</v>
      </c>
      <c r="U20" s="105" t="s">
        <v>181</v>
      </c>
      <c r="V20" s="106" t="s">
        <v>181</v>
      </c>
      <c r="W20" s="105" t="s">
        <v>181</v>
      </c>
      <c r="X20" s="106" t="s">
        <v>181</v>
      </c>
      <c r="Y20" s="105" t="s">
        <v>181</v>
      </c>
      <c r="Z20" s="106" t="s">
        <v>181</v>
      </c>
      <c r="AA20" s="105" t="s">
        <v>181</v>
      </c>
      <c r="AB20" s="106" t="s">
        <v>181</v>
      </c>
      <c r="AC20" s="105" t="s">
        <v>181</v>
      </c>
      <c r="AD20" s="106" t="s">
        <v>181</v>
      </c>
      <c r="AE20" s="105" t="s">
        <v>181</v>
      </c>
      <c r="AF20" s="106" t="s">
        <v>181</v>
      </c>
      <c r="AG20" s="105" t="s">
        <v>181</v>
      </c>
      <c r="AH20" s="106" t="s">
        <v>181</v>
      </c>
      <c r="AI20" s="105" t="s">
        <v>181</v>
      </c>
      <c r="AJ20" s="106" t="s">
        <v>181</v>
      </c>
      <c r="AK20" s="105" t="s">
        <v>181</v>
      </c>
      <c r="AL20" s="106" t="s">
        <v>181</v>
      </c>
    </row>
    <row r="21" spans="1:38" s="1" customFormat="1" x14ac:dyDescent="0.25">
      <c r="A21" s="25">
        <v>13</v>
      </c>
      <c r="B21" s="2" t="s">
        <v>38</v>
      </c>
      <c r="C21" s="2" t="s">
        <v>180</v>
      </c>
      <c r="D21" s="3" t="s">
        <v>181</v>
      </c>
      <c r="E21" s="3" t="s">
        <v>181</v>
      </c>
      <c r="F21" s="3" t="s">
        <v>181</v>
      </c>
      <c r="G21" s="68" t="s">
        <v>277</v>
      </c>
      <c r="H21" s="2" t="s">
        <v>181</v>
      </c>
      <c r="I21" s="4" t="s">
        <v>139</v>
      </c>
      <c r="J21" s="4" t="s">
        <v>170</v>
      </c>
      <c r="K21" s="4" t="s">
        <v>198</v>
      </c>
      <c r="L21" s="2" t="s">
        <v>78</v>
      </c>
      <c r="M21" s="2"/>
      <c r="N21" s="2" t="s">
        <v>320</v>
      </c>
      <c r="O21" s="105" t="s">
        <v>181</v>
      </c>
      <c r="P21" s="106" t="s">
        <v>181</v>
      </c>
      <c r="Q21" s="105" t="s">
        <v>181</v>
      </c>
      <c r="R21" s="106" t="s">
        <v>181</v>
      </c>
      <c r="S21" s="105" t="s">
        <v>181</v>
      </c>
      <c r="T21" s="106" t="s">
        <v>181</v>
      </c>
      <c r="U21" s="105" t="s">
        <v>181</v>
      </c>
      <c r="V21" s="106" t="s">
        <v>181</v>
      </c>
      <c r="W21" s="105" t="s">
        <v>181</v>
      </c>
      <c r="X21" s="106" t="s">
        <v>181</v>
      </c>
      <c r="Y21" s="105" t="s">
        <v>181</v>
      </c>
      <c r="Z21" s="106" t="s">
        <v>181</v>
      </c>
      <c r="AA21" s="105" t="s">
        <v>181</v>
      </c>
      <c r="AB21" s="106" t="s">
        <v>181</v>
      </c>
      <c r="AC21" s="105" t="s">
        <v>181</v>
      </c>
      <c r="AD21" s="106" t="s">
        <v>181</v>
      </c>
      <c r="AE21" s="105" t="s">
        <v>181</v>
      </c>
      <c r="AF21" s="106" t="s">
        <v>181</v>
      </c>
      <c r="AG21" s="105" t="s">
        <v>181</v>
      </c>
      <c r="AH21" s="106" t="s">
        <v>181</v>
      </c>
      <c r="AI21" s="105" t="s">
        <v>181</v>
      </c>
      <c r="AJ21" s="106" t="s">
        <v>181</v>
      </c>
      <c r="AK21" s="105" t="s">
        <v>181</v>
      </c>
      <c r="AL21" s="106" t="s">
        <v>181</v>
      </c>
    </row>
    <row r="22" spans="1:38" s="1" customFormat="1" x14ac:dyDescent="0.25">
      <c r="A22" s="25">
        <v>14</v>
      </c>
      <c r="B22" s="2" t="s">
        <v>176</v>
      </c>
      <c r="C22" s="2" t="s">
        <v>179</v>
      </c>
      <c r="D22" s="3" t="s">
        <v>181</v>
      </c>
      <c r="E22" s="3" t="s">
        <v>181</v>
      </c>
      <c r="F22" s="3" t="s">
        <v>181</v>
      </c>
      <c r="G22" s="2" t="s">
        <v>181</v>
      </c>
      <c r="H22" s="2" t="s">
        <v>181</v>
      </c>
      <c r="I22" s="4" t="s">
        <v>139</v>
      </c>
      <c r="J22" s="4" t="s">
        <v>170</v>
      </c>
      <c r="K22" s="4" t="s">
        <v>197</v>
      </c>
      <c r="L22" s="2" t="s">
        <v>78</v>
      </c>
      <c r="M22" s="2"/>
      <c r="N22" s="2" t="s">
        <v>320</v>
      </c>
      <c r="O22" s="105">
        <v>44943</v>
      </c>
      <c r="P22" s="106">
        <v>1025.8900000000001</v>
      </c>
      <c r="Q22" s="105">
        <v>44972</v>
      </c>
      <c r="R22" s="106">
        <v>999.82</v>
      </c>
      <c r="S22" s="105">
        <v>45000</v>
      </c>
      <c r="T22" s="106">
        <v>894.92</v>
      </c>
      <c r="U22" s="105">
        <v>45033</v>
      </c>
      <c r="V22" s="106">
        <v>867.94</v>
      </c>
      <c r="W22" s="105">
        <v>45062</v>
      </c>
      <c r="X22" s="106">
        <v>906.76</v>
      </c>
      <c r="Y22" s="105">
        <v>45091</v>
      </c>
      <c r="Z22" s="106">
        <v>1137.3399999999999</v>
      </c>
      <c r="AA22" s="105">
        <v>45125</v>
      </c>
      <c r="AB22" s="106">
        <v>1005.33</v>
      </c>
      <c r="AC22" s="105">
        <v>45154</v>
      </c>
      <c r="AD22" s="106">
        <v>1001.85</v>
      </c>
      <c r="AE22" s="105">
        <v>45183</v>
      </c>
      <c r="AF22" s="106">
        <v>1151.3599999999999</v>
      </c>
      <c r="AG22" s="105">
        <v>45216</v>
      </c>
      <c r="AH22" s="106">
        <v>983.43</v>
      </c>
      <c r="AI22" s="105">
        <v>45244</v>
      </c>
      <c r="AJ22" s="106">
        <v>997.17</v>
      </c>
      <c r="AK22" s="105">
        <v>45645</v>
      </c>
      <c r="AL22" s="106">
        <v>904.62</v>
      </c>
    </row>
    <row r="23" spans="1:38" s="1" customFormat="1" x14ac:dyDescent="0.25">
      <c r="A23" s="25">
        <v>15</v>
      </c>
      <c r="B23" s="2" t="s">
        <v>177</v>
      </c>
      <c r="C23" s="2" t="s">
        <v>178</v>
      </c>
      <c r="D23" s="3" t="s">
        <v>181</v>
      </c>
      <c r="E23" s="3" t="s">
        <v>181</v>
      </c>
      <c r="F23" s="3" t="s">
        <v>181</v>
      </c>
      <c r="G23" s="2" t="s">
        <v>181</v>
      </c>
      <c r="H23" s="2" t="s">
        <v>181</v>
      </c>
      <c r="I23" s="4" t="s">
        <v>139</v>
      </c>
      <c r="J23" s="4" t="s">
        <v>170</v>
      </c>
      <c r="K23" s="4" t="s">
        <v>197</v>
      </c>
      <c r="L23" s="2" t="s">
        <v>78</v>
      </c>
      <c r="M23" s="2"/>
      <c r="N23" s="2" t="s">
        <v>320</v>
      </c>
      <c r="O23" s="105">
        <v>44943</v>
      </c>
      <c r="P23" s="106">
        <v>123.3</v>
      </c>
      <c r="Q23" s="105">
        <v>44972</v>
      </c>
      <c r="R23" s="106">
        <v>127.13</v>
      </c>
      <c r="S23" s="105">
        <v>45000</v>
      </c>
      <c r="T23" s="106">
        <v>84.17</v>
      </c>
      <c r="U23" s="105">
        <v>45033</v>
      </c>
      <c r="V23" s="106">
        <v>114.31</v>
      </c>
      <c r="W23" s="105">
        <v>45062</v>
      </c>
      <c r="X23" s="106">
        <v>107.68</v>
      </c>
      <c r="Y23" s="105">
        <v>45093</v>
      </c>
      <c r="Z23" s="106">
        <v>145.13999999999999</v>
      </c>
      <c r="AA23" s="105">
        <v>45125</v>
      </c>
      <c r="AB23" s="106">
        <v>113.29</v>
      </c>
      <c r="AC23" s="105">
        <v>45154</v>
      </c>
      <c r="AD23" s="106">
        <v>103.95</v>
      </c>
      <c r="AE23" s="105">
        <v>45183</v>
      </c>
      <c r="AF23" s="106">
        <v>172</v>
      </c>
      <c r="AG23" s="105">
        <v>45217</v>
      </c>
      <c r="AH23" s="106">
        <v>105.01</v>
      </c>
      <c r="AI23" s="105">
        <v>45244</v>
      </c>
      <c r="AJ23" s="106">
        <v>118.18</v>
      </c>
      <c r="AK23" s="105">
        <v>45645</v>
      </c>
      <c r="AL23" s="106">
        <v>166.31</v>
      </c>
    </row>
    <row r="24" spans="1:38" s="1" customFormat="1" x14ac:dyDescent="0.25">
      <c r="A24" s="25">
        <v>16</v>
      </c>
      <c r="B24" s="2" t="s">
        <v>167</v>
      </c>
      <c r="C24" s="2" t="s">
        <v>182</v>
      </c>
      <c r="D24" s="3" t="s">
        <v>181</v>
      </c>
      <c r="E24" s="3" t="s">
        <v>181</v>
      </c>
      <c r="F24" s="3" t="s">
        <v>181</v>
      </c>
      <c r="G24" s="2" t="s">
        <v>181</v>
      </c>
      <c r="H24" s="2" t="s">
        <v>181</v>
      </c>
      <c r="I24" s="4" t="s">
        <v>139</v>
      </c>
      <c r="J24" s="4" t="s">
        <v>170</v>
      </c>
      <c r="K24" s="4" t="s">
        <v>196</v>
      </c>
      <c r="L24" s="2" t="s">
        <v>78</v>
      </c>
      <c r="M24" s="2"/>
      <c r="N24" s="2" t="s">
        <v>320</v>
      </c>
      <c r="O24" s="105">
        <v>44929</v>
      </c>
      <c r="P24" s="106">
        <v>1701.12</v>
      </c>
      <c r="Q24" s="105">
        <v>44960</v>
      </c>
      <c r="R24" s="106">
        <v>1674.23</v>
      </c>
      <c r="S24" s="105">
        <v>44987</v>
      </c>
      <c r="T24" s="106">
        <v>1704.45</v>
      </c>
      <c r="U24" s="105">
        <v>45019</v>
      </c>
      <c r="V24" s="106">
        <v>1666.2</v>
      </c>
      <c r="W24" s="105">
        <v>45050</v>
      </c>
      <c r="X24" s="106">
        <v>1661.95</v>
      </c>
      <c r="Y24" s="105">
        <v>45078</v>
      </c>
      <c r="Z24" s="106">
        <v>1661.95</v>
      </c>
      <c r="AA24" s="105">
        <v>45108</v>
      </c>
      <c r="AB24" s="106">
        <v>1661.95</v>
      </c>
      <c r="AC24" s="105">
        <v>45139</v>
      </c>
      <c r="AD24" s="106">
        <v>1661.95</v>
      </c>
      <c r="AE24" s="105">
        <v>45172</v>
      </c>
      <c r="AF24" s="106">
        <v>1719.05</v>
      </c>
      <c r="AG24" s="105">
        <v>45202</v>
      </c>
      <c r="AH24" s="106">
        <v>1669.91</v>
      </c>
      <c r="AI24" s="105">
        <v>45231</v>
      </c>
      <c r="AJ24" s="106">
        <v>1707.34</v>
      </c>
      <c r="AK24" s="105">
        <v>45265</v>
      </c>
      <c r="AL24" s="106">
        <v>1628.08</v>
      </c>
    </row>
    <row r="25" spans="1:38" s="1" customFormat="1" x14ac:dyDescent="0.25">
      <c r="A25" s="25">
        <v>17</v>
      </c>
      <c r="B25" s="2" t="s">
        <v>234</v>
      </c>
      <c r="C25" s="2" t="s">
        <v>200</v>
      </c>
      <c r="D25" s="3" t="s">
        <v>181</v>
      </c>
      <c r="E25" s="3" t="s">
        <v>181</v>
      </c>
      <c r="F25" s="3" t="s">
        <v>181</v>
      </c>
      <c r="G25" s="2" t="s">
        <v>181</v>
      </c>
      <c r="H25" s="2" t="s">
        <v>181</v>
      </c>
      <c r="I25" s="4">
        <v>99.9</v>
      </c>
      <c r="J25" s="4" t="s">
        <v>170</v>
      </c>
      <c r="K25" s="4" t="s">
        <v>208</v>
      </c>
      <c r="L25" s="2" t="s">
        <v>78</v>
      </c>
      <c r="M25" s="2"/>
      <c r="N25" s="2" t="s">
        <v>320</v>
      </c>
      <c r="O25" s="105">
        <v>44928</v>
      </c>
      <c r="P25" s="103">
        <v>119.83</v>
      </c>
      <c r="Q25" s="105">
        <v>44958</v>
      </c>
      <c r="R25" s="103">
        <v>119.83</v>
      </c>
      <c r="S25" s="105">
        <v>44987</v>
      </c>
      <c r="T25" s="106">
        <v>119.83</v>
      </c>
      <c r="U25" s="105">
        <v>45017</v>
      </c>
      <c r="V25" s="106">
        <v>119.83</v>
      </c>
      <c r="W25" s="105">
        <v>45047</v>
      </c>
      <c r="X25" s="106">
        <v>119.83</v>
      </c>
      <c r="Y25" s="105">
        <v>45078</v>
      </c>
      <c r="Z25" s="106">
        <v>119.83</v>
      </c>
      <c r="AA25" s="105">
        <v>45108</v>
      </c>
      <c r="AB25" s="106">
        <v>119.83</v>
      </c>
      <c r="AC25" s="105">
        <v>45139</v>
      </c>
      <c r="AD25" s="106">
        <v>119.83</v>
      </c>
      <c r="AE25" s="105">
        <v>45170</v>
      </c>
      <c r="AF25" s="106">
        <v>129.05000000000001</v>
      </c>
      <c r="AG25" s="105">
        <v>45200</v>
      </c>
      <c r="AH25" s="106">
        <v>128.61000000000001</v>
      </c>
      <c r="AI25" s="105">
        <v>45231</v>
      </c>
      <c r="AJ25" s="106">
        <v>129.88999999999999</v>
      </c>
      <c r="AK25" s="105">
        <v>45261</v>
      </c>
      <c r="AL25" s="106">
        <v>150.21</v>
      </c>
    </row>
    <row r="26" spans="1:38" s="1" customFormat="1" x14ac:dyDescent="0.25">
      <c r="A26" s="25">
        <v>18</v>
      </c>
      <c r="B26" s="2" t="s">
        <v>281</v>
      </c>
      <c r="C26" s="2" t="s">
        <v>280</v>
      </c>
      <c r="D26" s="3" t="s">
        <v>181</v>
      </c>
      <c r="E26" s="3" t="s">
        <v>181</v>
      </c>
      <c r="F26" s="3" t="s">
        <v>181</v>
      </c>
      <c r="G26" s="2" t="s">
        <v>181</v>
      </c>
      <c r="H26" s="2" t="s">
        <v>181</v>
      </c>
      <c r="I26" s="4">
        <v>119.9</v>
      </c>
      <c r="J26" s="4" t="s">
        <v>170</v>
      </c>
      <c r="K26" s="4" t="s">
        <v>208</v>
      </c>
      <c r="L26" s="2" t="s">
        <v>78</v>
      </c>
      <c r="M26" s="2"/>
      <c r="N26" s="2" t="s">
        <v>320</v>
      </c>
      <c r="O26" s="105">
        <v>44928</v>
      </c>
      <c r="P26" s="103">
        <v>119.83</v>
      </c>
      <c r="Q26" s="105">
        <v>44958</v>
      </c>
      <c r="R26" s="103">
        <v>119.83</v>
      </c>
      <c r="S26" s="105">
        <v>44987</v>
      </c>
      <c r="T26" s="106">
        <v>119.83</v>
      </c>
      <c r="U26" s="105">
        <v>45017</v>
      </c>
      <c r="V26" s="106">
        <v>119.83</v>
      </c>
      <c r="W26" s="105">
        <v>45047</v>
      </c>
      <c r="X26" s="106">
        <v>119.83</v>
      </c>
      <c r="Y26" s="105">
        <v>45078</v>
      </c>
      <c r="Z26" s="106">
        <v>119.83</v>
      </c>
      <c r="AA26" s="105">
        <v>45108</v>
      </c>
      <c r="AB26" s="106">
        <v>119.83</v>
      </c>
      <c r="AC26" s="105">
        <v>45139</v>
      </c>
      <c r="AD26" s="106">
        <v>119.83</v>
      </c>
      <c r="AE26" s="105">
        <v>45170</v>
      </c>
      <c r="AF26" s="106">
        <v>129.05000000000001</v>
      </c>
      <c r="AG26" s="105">
        <v>45200</v>
      </c>
      <c r="AH26" s="106">
        <v>122.48</v>
      </c>
      <c r="AI26" s="105">
        <v>45231</v>
      </c>
      <c r="AJ26" s="106">
        <v>119.81</v>
      </c>
      <c r="AK26" s="105">
        <v>45261</v>
      </c>
      <c r="AL26" s="106">
        <v>119.81</v>
      </c>
    </row>
    <row r="27" spans="1:38" s="1" customFormat="1" x14ac:dyDescent="0.25">
      <c r="A27" s="25">
        <v>19</v>
      </c>
      <c r="B27" s="2" t="s">
        <v>282</v>
      </c>
      <c r="C27" s="2" t="s">
        <v>279</v>
      </c>
      <c r="D27" s="3"/>
      <c r="E27" s="3"/>
      <c r="F27" s="3"/>
      <c r="G27" s="23" t="s">
        <v>181</v>
      </c>
      <c r="H27" s="23" t="s">
        <v>181</v>
      </c>
      <c r="I27" s="4">
        <v>119.9</v>
      </c>
      <c r="J27" s="4" t="s">
        <v>170</v>
      </c>
      <c r="K27" s="4" t="s">
        <v>208</v>
      </c>
      <c r="L27" s="2" t="s">
        <v>78</v>
      </c>
      <c r="M27" s="2"/>
      <c r="N27" s="2" t="s">
        <v>320</v>
      </c>
      <c r="O27" s="105">
        <v>44928</v>
      </c>
      <c r="P27" s="103">
        <v>119.83</v>
      </c>
      <c r="Q27" s="105">
        <v>44958</v>
      </c>
      <c r="R27" s="103">
        <v>119.83</v>
      </c>
      <c r="S27" s="105">
        <v>44987</v>
      </c>
      <c r="T27" s="106">
        <v>119.83</v>
      </c>
      <c r="U27" s="105">
        <v>45017</v>
      </c>
      <c r="V27" s="106">
        <v>119.83</v>
      </c>
      <c r="W27" s="105">
        <v>45047</v>
      </c>
      <c r="X27" s="106">
        <v>119.83</v>
      </c>
      <c r="Y27" s="105">
        <v>45078</v>
      </c>
      <c r="Z27" s="106">
        <v>119.83</v>
      </c>
      <c r="AA27" s="105">
        <v>45108</v>
      </c>
      <c r="AB27" s="106">
        <v>119.83</v>
      </c>
      <c r="AC27" s="105">
        <v>45139</v>
      </c>
      <c r="AD27" s="106">
        <v>119.83</v>
      </c>
      <c r="AE27" s="105">
        <v>45170</v>
      </c>
      <c r="AF27" s="106">
        <v>129.05000000000001</v>
      </c>
      <c r="AG27" s="105">
        <v>45200</v>
      </c>
      <c r="AH27" s="106">
        <v>122.18</v>
      </c>
      <c r="AI27" s="105">
        <v>45231</v>
      </c>
      <c r="AJ27" s="106">
        <v>119.81</v>
      </c>
      <c r="AK27" s="105">
        <v>45261</v>
      </c>
      <c r="AL27" s="106">
        <v>119.81</v>
      </c>
    </row>
    <row r="28" spans="1:38" s="1" customFormat="1" x14ac:dyDescent="0.25">
      <c r="A28" s="25">
        <v>20</v>
      </c>
      <c r="B28" s="2" t="s">
        <v>311</v>
      </c>
      <c r="C28" s="2" t="s">
        <v>312</v>
      </c>
      <c r="D28" s="3"/>
      <c r="E28" s="3"/>
      <c r="F28" s="3"/>
      <c r="G28" s="23" t="s">
        <v>181</v>
      </c>
      <c r="H28" s="23" t="s">
        <v>181</v>
      </c>
      <c r="I28" s="4">
        <v>119.9</v>
      </c>
      <c r="J28" s="4" t="s">
        <v>170</v>
      </c>
      <c r="K28" s="4" t="s">
        <v>208</v>
      </c>
      <c r="L28" s="2" t="s">
        <v>78</v>
      </c>
      <c r="M28" s="2"/>
      <c r="N28" s="2" t="s">
        <v>320</v>
      </c>
      <c r="O28" s="105">
        <v>44939</v>
      </c>
      <c r="P28" s="103">
        <v>119.83</v>
      </c>
      <c r="Q28" s="105">
        <v>44958</v>
      </c>
      <c r="R28" s="106">
        <v>119.83</v>
      </c>
      <c r="S28" s="105">
        <v>44998</v>
      </c>
      <c r="T28" s="106">
        <v>119.83</v>
      </c>
      <c r="U28" s="105">
        <v>45027</v>
      </c>
      <c r="V28" s="106">
        <v>119.83</v>
      </c>
      <c r="W28" s="105">
        <v>45061</v>
      </c>
      <c r="X28" s="106">
        <v>119.83</v>
      </c>
      <c r="Y28" s="105">
        <v>45090</v>
      </c>
      <c r="Z28" s="106">
        <v>119.83</v>
      </c>
      <c r="AA28" s="105">
        <v>45121</v>
      </c>
      <c r="AB28" s="106">
        <v>119.83</v>
      </c>
      <c r="AC28" s="105">
        <v>45155</v>
      </c>
      <c r="AD28" s="106">
        <v>119.83</v>
      </c>
      <c r="AE28" s="105">
        <v>45180</v>
      </c>
      <c r="AF28" s="106">
        <v>127.94</v>
      </c>
      <c r="AG28" s="105">
        <v>45210</v>
      </c>
      <c r="AH28" s="106">
        <v>119.81</v>
      </c>
      <c r="AI28" s="105">
        <v>45241</v>
      </c>
      <c r="AJ28" s="106">
        <v>119.81</v>
      </c>
      <c r="AK28" s="105">
        <v>45645</v>
      </c>
      <c r="AL28" s="106">
        <v>119.81</v>
      </c>
    </row>
    <row r="29" spans="1:38" s="1" customFormat="1" x14ac:dyDescent="0.25">
      <c r="A29" s="25">
        <v>21</v>
      </c>
      <c r="B29" s="2" t="s">
        <v>297</v>
      </c>
      <c r="C29" s="2" t="s">
        <v>298</v>
      </c>
      <c r="D29" s="3">
        <v>44676</v>
      </c>
      <c r="E29" s="3"/>
      <c r="F29" s="3" t="s">
        <v>6</v>
      </c>
      <c r="G29" s="23" t="s">
        <v>89</v>
      </c>
      <c r="H29" s="23" t="s">
        <v>181</v>
      </c>
      <c r="I29" s="4" t="s">
        <v>139</v>
      </c>
      <c r="J29" s="4" t="s">
        <v>170</v>
      </c>
      <c r="K29" s="4" t="s">
        <v>299</v>
      </c>
      <c r="L29" s="2" t="s">
        <v>78</v>
      </c>
      <c r="M29" s="2"/>
      <c r="N29" s="2" t="s">
        <v>318</v>
      </c>
      <c r="O29" s="105">
        <v>44957</v>
      </c>
      <c r="P29" s="106">
        <f>24*130</f>
        <v>3120</v>
      </c>
      <c r="Q29" s="105">
        <v>44988</v>
      </c>
      <c r="R29" s="106">
        <v>2080</v>
      </c>
      <c r="S29" s="105">
        <v>45009</v>
      </c>
      <c r="T29" s="106">
        <v>3110</v>
      </c>
      <c r="U29" s="105">
        <v>45041</v>
      </c>
      <c r="V29" s="106">
        <f>19*130</f>
        <v>2470</v>
      </c>
      <c r="W29" s="105">
        <v>45076</v>
      </c>
      <c r="X29" s="106">
        <f>20*130</f>
        <v>2600</v>
      </c>
      <c r="Y29" s="105">
        <v>45106</v>
      </c>
      <c r="Z29" s="106">
        <f>16*134.979</f>
        <v>2159.6640000000002</v>
      </c>
      <c r="AA29" s="105">
        <v>45126</v>
      </c>
      <c r="AB29" s="106">
        <f>19*135.75</f>
        <v>2579.25</v>
      </c>
      <c r="AC29" s="105">
        <v>45162</v>
      </c>
      <c r="AD29" s="106">
        <v>2307.75</v>
      </c>
      <c r="AE29" s="105">
        <v>45197</v>
      </c>
      <c r="AF29" s="106">
        <v>2307.75</v>
      </c>
      <c r="AG29" s="105">
        <v>45231</v>
      </c>
      <c r="AH29" s="106">
        <v>3529.5</v>
      </c>
      <c r="AI29" s="105">
        <v>45261</v>
      </c>
      <c r="AJ29" s="106">
        <v>2036.25</v>
      </c>
      <c r="AK29" s="105">
        <v>45648</v>
      </c>
      <c r="AL29" s="106">
        <v>2172</v>
      </c>
    </row>
    <row r="30" spans="1:38" s="1" customFormat="1" x14ac:dyDescent="0.25">
      <c r="A30" s="25">
        <v>22</v>
      </c>
      <c r="B30" s="2" t="s">
        <v>303</v>
      </c>
      <c r="C30" s="2" t="s">
        <v>304</v>
      </c>
      <c r="D30" s="3">
        <v>44771</v>
      </c>
      <c r="E30" s="3" t="s">
        <v>181</v>
      </c>
      <c r="F30" s="3" t="s">
        <v>305</v>
      </c>
      <c r="G30" s="23" t="s">
        <v>306</v>
      </c>
      <c r="H30" s="23" t="s">
        <v>181</v>
      </c>
      <c r="I30" s="4">
        <v>459</v>
      </c>
      <c r="J30" s="4" t="s">
        <v>170</v>
      </c>
      <c r="K30" s="4" t="s">
        <v>307</v>
      </c>
      <c r="L30" s="2" t="s">
        <v>78</v>
      </c>
      <c r="M30" s="2"/>
      <c r="N30" s="2" t="s">
        <v>319</v>
      </c>
      <c r="O30" s="105">
        <v>44929</v>
      </c>
      <c r="P30" s="106">
        <v>459</v>
      </c>
      <c r="Q30" s="105">
        <v>44959</v>
      </c>
      <c r="R30" s="106">
        <v>459</v>
      </c>
      <c r="S30" s="105">
        <v>44987</v>
      </c>
      <c r="T30" s="106">
        <v>459</v>
      </c>
      <c r="U30" s="105">
        <v>45021</v>
      </c>
      <c r="V30" s="106">
        <v>459</v>
      </c>
      <c r="W30" s="105">
        <v>45049</v>
      </c>
      <c r="X30" s="106">
        <v>459</v>
      </c>
      <c r="Y30" s="105">
        <v>45079</v>
      </c>
      <c r="Z30" s="106">
        <v>459</v>
      </c>
      <c r="AA30" s="105">
        <v>45108</v>
      </c>
      <c r="AB30" s="106">
        <v>459</v>
      </c>
      <c r="AC30" s="105">
        <v>45140</v>
      </c>
      <c r="AD30" s="106">
        <v>459</v>
      </c>
      <c r="AE30" s="105">
        <v>45174</v>
      </c>
      <c r="AF30" s="106">
        <v>459</v>
      </c>
      <c r="AG30" s="105">
        <v>45202</v>
      </c>
      <c r="AH30" s="106">
        <v>459</v>
      </c>
      <c r="AI30" s="105">
        <v>45231</v>
      </c>
      <c r="AJ30" s="106">
        <v>459</v>
      </c>
      <c r="AK30" s="105">
        <v>45262</v>
      </c>
      <c r="AL30" s="106">
        <v>459</v>
      </c>
    </row>
    <row r="31" spans="1:38" s="1" customFormat="1" hidden="1" x14ac:dyDescent="0.25">
      <c r="A31" s="25"/>
      <c r="B31" s="2"/>
      <c r="C31" s="2"/>
      <c r="D31" s="3"/>
      <c r="E31" s="3"/>
      <c r="F31" s="3"/>
      <c r="G31" s="23"/>
      <c r="H31" s="23"/>
      <c r="I31" s="4"/>
      <c r="J31" s="4"/>
      <c r="K31" s="4"/>
      <c r="L31" s="2"/>
      <c r="M31" s="2"/>
      <c r="N31" s="2"/>
      <c r="O31" s="105"/>
      <c r="P31" s="106"/>
      <c r="Q31" s="105"/>
      <c r="R31" s="106"/>
      <c r="S31" s="105"/>
      <c r="T31" s="106"/>
      <c r="U31" s="105"/>
      <c r="V31" s="106"/>
      <c r="W31" s="105"/>
      <c r="X31" s="106"/>
      <c r="Y31" s="105"/>
      <c r="Z31" s="106"/>
      <c r="AA31" s="105"/>
      <c r="AB31" s="106"/>
      <c r="AC31" s="105"/>
      <c r="AD31" s="106"/>
      <c r="AE31" s="105"/>
      <c r="AF31" s="106"/>
      <c r="AG31" s="105"/>
      <c r="AH31" s="106"/>
      <c r="AI31" s="105"/>
      <c r="AJ31" s="106"/>
      <c r="AK31" s="105"/>
      <c r="AL31" s="106"/>
    </row>
    <row r="32" spans="1:38" s="1" customFormat="1" hidden="1" x14ac:dyDescent="0.25">
      <c r="A32" s="25"/>
      <c r="B32" s="25" t="s">
        <v>323</v>
      </c>
      <c r="C32" s="25" t="s">
        <v>283</v>
      </c>
      <c r="D32" s="26">
        <v>44391</v>
      </c>
      <c r="E32" s="26"/>
      <c r="F32" s="71" t="s">
        <v>13</v>
      </c>
      <c r="G32" s="91" t="s">
        <v>89</v>
      </c>
      <c r="H32" s="92" t="s">
        <v>7</v>
      </c>
      <c r="I32" s="72">
        <v>202</v>
      </c>
      <c r="J32" s="27" t="s">
        <v>141</v>
      </c>
      <c r="K32" s="27" t="s">
        <v>266</v>
      </c>
      <c r="L32" s="25" t="s">
        <v>78</v>
      </c>
      <c r="M32" s="25"/>
      <c r="N32" s="25" t="s">
        <v>319</v>
      </c>
      <c r="O32" s="105">
        <v>44928</v>
      </c>
      <c r="P32" s="106">
        <v>303.95</v>
      </c>
      <c r="Q32" s="105">
        <v>44959</v>
      </c>
      <c r="R32" s="106">
        <v>215.17</v>
      </c>
      <c r="S32" s="105">
        <v>44987</v>
      </c>
      <c r="T32" s="106">
        <v>215.17</v>
      </c>
      <c r="U32" s="105">
        <v>45019</v>
      </c>
      <c r="V32" s="106">
        <v>215.17</v>
      </c>
      <c r="W32" s="105">
        <v>45049</v>
      </c>
      <c r="X32" s="106">
        <v>215.17</v>
      </c>
      <c r="Y32" s="105">
        <v>45079</v>
      </c>
      <c r="Z32" s="106">
        <v>215.17</v>
      </c>
      <c r="AA32" s="105">
        <v>45109</v>
      </c>
      <c r="AB32" s="106">
        <v>215.17</v>
      </c>
      <c r="AC32" s="105">
        <v>45139</v>
      </c>
      <c r="AD32" s="106">
        <v>215.17</v>
      </c>
      <c r="AE32" s="105">
        <v>45173</v>
      </c>
      <c r="AF32" s="106">
        <v>215.17</v>
      </c>
      <c r="AG32" s="105" t="s">
        <v>181</v>
      </c>
      <c r="AH32" s="106" t="s">
        <v>181</v>
      </c>
      <c r="AI32" s="105" t="s">
        <v>181</v>
      </c>
      <c r="AJ32" s="106" t="s">
        <v>181</v>
      </c>
      <c r="AK32" s="105" t="s">
        <v>181</v>
      </c>
      <c r="AL32" s="106" t="s">
        <v>181</v>
      </c>
    </row>
    <row r="33" spans="1:38" s="1" customFormat="1" ht="15" hidden="1" customHeight="1" x14ac:dyDescent="0.25">
      <c r="A33" s="2"/>
      <c r="B33" s="2" t="s">
        <v>166</v>
      </c>
      <c r="C33" s="2" t="s">
        <v>88</v>
      </c>
      <c r="D33" s="3" t="s">
        <v>181</v>
      </c>
      <c r="E33" s="26" t="s">
        <v>181</v>
      </c>
      <c r="F33" s="3" t="s">
        <v>6</v>
      </c>
      <c r="G33" s="23" t="s">
        <v>89</v>
      </c>
      <c r="H33" s="23"/>
      <c r="I33" s="4">
        <v>297.77</v>
      </c>
      <c r="J33" s="4" t="s">
        <v>170</v>
      </c>
      <c r="K33" s="4" t="s">
        <v>181</v>
      </c>
      <c r="L33" s="2" t="s">
        <v>149</v>
      </c>
      <c r="M33" s="2"/>
      <c r="N33" s="2"/>
      <c r="O33" s="105" t="s">
        <v>181</v>
      </c>
      <c r="P33" s="106" t="s">
        <v>181</v>
      </c>
      <c r="Q33" s="105" t="s">
        <v>181</v>
      </c>
      <c r="R33" s="106" t="s">
        <v>181</v>
      </c>
      <c r="S33" s="105" t="s">
        <v>181</v>
      </c>
      <c r="T33" s="106" t="s">
        <v>181</v>
      </c>
      <c r="U33" s="105" t="s">
        <v>181</v>
      </c>
      <c r="V33" s="106" t="s">
        <v>181</v>
      </c>
      <c r="W33" s="105" t="s">
        <v>181</v>
      </c>
      <c r="X33" s="106" t="s">
        <v>181</v>
      </c>
      <c r="Y33" s="105" t="s">
        <v>181</v>
      </c>
      <c r="Z33" s="106" t="s">
        <v>181</v>
      </c>
      <c r="AA33" s="105" t="s">
        <v>181</v>
      </c>
      <c r="AB33" s="106" t="s">
        <v>181</v>
      </c>
      <c r="AC33" s="105" t="s">
        <v>181</v>
      </c>
      <c r="AD33" s="106" t="s">
        <v>181</v>
      </c>
      <c r="AE33" s="105" t="s">
        <v>181</v>
      </c>
      <c r="AF33" s="106" t="s">
        <v>181</v>
      </c>
      <c r="AG33" s="105" t="s">
        <v>181</v>
      </c>
      <c r="AH33" s="106" t="s">
        <v>181</v>
      </c>
      <c r="AI33" s="105" t="s">
        <v>181</v>
      </c>
      <c r="AJ33" s="106" t="s">
        <v>181</v>
      </c>
      <c r="AK33" s="105" t="s">
        <v>181</v>
      </c>
      <c r="AL33" s="106" t="s">
        <v>181</v>
      </c>
    </row>
    <row r="34" spans="1:38" s="1" customFormat="1" ht="15" hidden="1" customHeight="1" x14ac:dyDescent="0.25">
      <c r="A34" s="2"/>
      <c r="B34" s="2" t="s">
        <v>91</v>
      </c>
      <c r="C34" s="2" t="s">
        <v>92</v>
      </c>
      <c r="D34" s="3" t="s">
        <v>181</v>
      </c>
      <c r="E34" s="26" t="s">
        <v>181</v>
      </c>
      <c r="F34" s="3" t="s">
        <v>6</v>
      </c>
      <c r="G34" s="2" t="s">
        <v>89</v>
      </c>
      <c r="H34" s="2"/>
      <c r="I34" s="4">
        <v>722.62</v>
      </c>
      <c r="J34" s="4" t="s">
        <v>165</v>
      </c>
      <c r="K34" s="4" t="s">
        <v>181</v>
      </c>
      <c r="L34" s="2" t="s">
        <v>269</v>
      </c>
      <c r="M34" s="2"/>
      <c r="N34" s="2"/>
      <c r="O34" s="105" t="s">
        <v>181</v>
      </c>
      <c r="P34" s="106" t="s">
        <v>181</v>
      </c>
      <c r="Q34" s="105" t="s">
        <v>181</v>
      </c>
      <c r="R34" s="106" t="s">
        <v>181</v>
      </c>
      <c r="S34" s="105" t="s">
        <v>181</v>
      </c>
      <c r="T34" s="106" t="s">
        <v>181</v>
      </c>
      <c r="U34" s="105" t="s">
        <v>181</v>
      </c>
      <c r="V34" s="106" t="s">
        <v>181</v>
      </c>
      <c r="W34" s="105" t="s">
        <v>181</v>
      </c>
      <c r="X34" s="106" t="s">
        <v>181</v>
      </c>
      <c r="Y34" s="105" t="s">
        <v>181</v>
      </c>
      <c r="Z34" s="106" t="s">
        <v>181</v>
      </c>
      <c r="AA34" s="105" t="s">
        <v>181</v>
      </c>
      <c r="AB34" s="106" t="s">
        <v>181</v>
      </c>
      <c r="AC34" s="105" t="s">
        <v>181</v>
      </c>
      <c r="AD34" s="106" t="s">
        <v>181</v>
      </c>
      <c r="AE34" s="105" t="s">
        <v>181</v>
      </c>
      <c r="AF34" s="106" t="s">
        <v>181</v>
      </c>
      <c r="AG34" s="105" t="s">
        <v>181</v>
      </c>
      <c r="AH34" s="106" t="s">
        <v>181</v>
      </c>
      <c r="AI34" s="105" t="s">
        <v>181</v>
      </c>
      <c r="AJ34" s="106" t="s">
        <v>181</v>
      </c>
      <c r="AK34" s="105" t="s">
        <v>181</v>
      </c>
      <c r="AL34" s="106" t="s">
        <v>181</v>
      </c>
    </row>
    <row r="35" spans="1:38" s="1" customFormat="1" hidden="1" x14ac:dyDescent="0.25">
      <c r="A35" s="2"/>
      <c r="B35" s="2" t="s">
        <v>18</v>
      </c>
      <c r="C35" s="2" t="s">
        <v>308</v>
      </c>
      <c r="D35" s="3">
        <v>41609</v>
      </c>
      <c r="E35" s="3"/>
      <c r="F35" s="3" t="s">
        <v>6</v>
      </c>
      <c r="G35" s="2" t="s">
        <v>12</v>
      </c>
      <c r="H35" s="2" t="s">
        <v>7</v>
      </c>
      <c r="I35" s="4">
        <v>1952.22</v>
      </c>
      <c r="J35" s="4"/>
      <c r="K35" s="4"/>
      <c r="L35" s="2" t="s">
        <v>20</v>
      </c>
      <c r="M35" s="2"/>
      <c r="N35" s="2"/>
      <c r="O35" s="105" t="s">
        <v>181</v>
      </c>
      <c r="P35" s="106" t="s">
        <v>181</v>
      </c>
      <c r="Q35" s="105" t="s">
        <v>181</v>
      </c>
      <c r="R35" s="106" t="s">
        <v>181</v>
      </c>
      <c r="S35" s="105" t="s">
        <v>181</v>
      </c>
      <c r="T35" s="106" t="s">
        <v>181</v>
      </c>
      <c r="U35" s="105" t="s">
        <v>181</v>
      </c>
      <c r="V35" s="106" t="s">
        <v>181</v>
      </c>
      <c r="W35" s="105" t="s">
        <v>181</v>
      </c>
      <c r="X35" s="106" t="s">
        <v>181</v>
      </c>
      <c r="Y35" s="105" t="s">
        <v>181</v>
      </c>
      <c r="Z35" s="106" t="s">
        <v>181</v>
      </c>
      <c r="AA35" s="105" t="s">
        <v>181</v>
      </c>
      <c r="AB35" s="106" t="s">
        <v>181</v>
      </c>
      <c r="AC35" s="105" t="s">
        <v>181</v>
      </c>
      <c r="AD35" s="106" t="s">
        <v>181</v>
      </c>
      <c r="AE35" s="105" t="s">
        <v>181</v>
      </c>
      <c r="AF35" s="106" t="s">
        <v>181</v>
      </c>
      <c r="AG35" s="105" t="s">
        <v>181</v>
      </c>
      <c r="AH35" s="106" t="s">
        <v>181</v>
      </c>
      <c r="AI35" s="105" t="s">
        <v>181</v>
      </c>
      <c r="AJ35" s="106" t="s">
        <v>181</v>
      </c>
      <c r="AK35" s="105" t="s">
        <v>181</v>
      </c>
      <c r="AL35" s="106" t="s">
        <v>181</v>
      </c>
    </row>
    <row r="36" spans="1:38" s="1" customFormat="1" hidden="1" x14ac:dyDescent="0.25">
      <c r="A36" s="2"/>
      <c r="B36" s="2" t="s">
        <v>17</v>
      </c>
      <c r="C36" s="2" t="s">
        <v>11</v>
      </c>
      <c r="D36" s="3">
        <v>41800</v>
      </c>
      <c r="E36" s="3">
        <v>43231</v>
      </c>
      <c r="F36" s="3" t="s">
        <v>13</v>
      </c>
      <c r="G36" s="25" t="s">
        <v>89</v>
      </c>
      <c r="H36" s="2" t="s">
        <v>15</v>
      </c>
      <c r="I36" s="4">
        <v>1240</v>
      </c>
      <c r="J36" s="27" t="s">
        <v>140</v>
      </c>
      <c r="K36" s="27" t="s">
        <v>187</v>
      </c>
      <c r="L36" s="2" t="s">
        <v>155</v>
      </c>
      <c r="M36" s="2"/>
      <c r="N36" s="2"/>
      <c r="O36" s="105" t="s">
        <v>181</v>
      </c>
      <c r="P36" s="106" t="s">
        <v>181</v>
      </c>
      <c r="Q36" s="105" t="s">
        <v>181</v>
      </c>
      <c r="R36" s="106" t="s">
        <v>181</v>
      </c>
      <c r="S36" s="105" t="s">
        <v>181</v>
      </c>
      <c r="T36" s="106" t="s">
        <v>181</v>
      </c>
      <c r="U36" s="105" t="s">
        <v>181</v>
      </c>
      <c r="V36" s="106" t="s">
        <v>181</v>
      </c>
      <c r="W36" s="105" t="s">
        <v>181</v>
      </c>
      <c r="X36" s="106" t="s">
        <v>181</v>
      </c>
      <c r="Y36" s="105" t="s">
        <v>181</v>
      </c>
      <c r="Z36" s="106" t="s">
        <v>181</v>
      </c>
      <c r="AA36" s="105" t="s">
        <v>181</v>
      </c>
      <c r="AB36" s="106" t="s">
        <v>181</v>
      </c>
      <c r="AC36" s="105" t="s">
        <v>181</v>
      </c>
      <c r="AD36" s="106" t="s">
        <v>181</v>
      </c>
      <c r="AE36" s="105" t="s">
        <v>181</v>
      </c>
      <c r="AF36" s="106" t="s">
        <v>181</v>
      </c>
      <c r="AG36" s="105" t="s">
        <v>181</v>
      </c>
      <c r="AH36" s="106" t="s">
        <v>181</v>
      </c>
      <c r="AI36" s="105" t="s">
        <v>181</v>
      </c>
      <c r="AJ36" s="106" t="s">
        <v>181</v>
      </c>
      <c r="AK36" s="105" t="s">
        <v>181</v>
      </c>
      <c r="AL36" s="106" t="s">
        <v>181</v>
      </c>
    </row>
    <row r="37" spans="1:38" s="1" customFormat="1" hidden="1" x14ac:dyDescent="0.25">
      <c r="A37" s="2"/>
      <c r="B37" s="2" t="s">
        <v>16</v>
      </c>
      <c r="C37" s="2" t="s">
        <v>21</v>
      </c>
      <c r="D37" s="3">
        <v>38936</v>
      </c>
      <c r="E37" s="3"/>
      <c r="F37" s="3" t="s">
        <v>13</v>
      </c>
      <c r="G37" s="2" t="s">
        <v>12</v>
      </c>
      <c r="H37" s="2" t="s">
        <v>7</v>
      </c>
      <c r="I37" s="4">
        <v>228</v>
      </c>
      <c r="J37" s="4"/>
      <c r="K37" s="4"/>
      <c r="L37" s="2" t="s">
        <v>100</v>
      </c>
      <c r="M37" s="2"/>
      <c r="N37" s="2"/>
      <c r="O37" s="105" t="s">
        <v>181</v>
      </c>
      <c r="P37" s="106" t="s">
        <v>181</v>
      </c>
      <c r="Q37" s="105" t="s">
        <v>181</v>
      </c>
      <c r="R37" s="106" t="s">
        <v>181</v>
      </c>
      <c r="S37" s="105" t="s">
        <v>181</v>
      </c>
      <c r="T37" s="106" t="s">
        <v>181</v>
      </c>
      <c r="U37" s="105" t="s">
        <v>181</v>
      </c>
      <c r="V37" s="106" t="s">
        <v>181</v>
      </c>
      <c r="W37" s="105" t="s">
        <v>181</v>
      </c>
      <c r="X37" s="106" t="s">
        <v>181</v>
      </c>
      <c r="Y37" s="105" t="s">
        <v>181</v>
      </c>
      <c r="Z37" s="106" t="s">
        <v>181</v>
      </c>
      <c r="AA37" s="105" t="s">
        <v>181</v>
      </c>
      <c r="AB37" s="106" t="s">
        <v>181</v>
      </c>
      <c r="AC37" s="105" t="s">
        <v>181</v>
      </c>
      <c r="AD37" s="106" t="s">
        <v>181</v>
      </c>
      <c r="AE37" s="105" t="s">
        <v>181</v>
      </c>
      <c r="AF37" s="106" t="s">
        <v>181</v>
      </c>
      <c r="AG37" s="105" t="s">
        <v>181</v>
      </c>
      <c r="AH37" s="106" t="s">
        <v>181</v>
      </c>
      <c r="AI37" s="105" t="s">
        <v>181</v>
      </c>
      <c r="AJ37" s="106" t="s">
        <v>181</v>
      </c>
      <c r="AK37" s="105" t="s">
        <v>181</v>
      </c>
      <c r="AL37" s="106" t="s">
        <v>181</v>
      </c>
    </row>
    <row r="38" spans="1:38" s="1" customFormat="1" hidden="1" x14ac:dyDescent="0.25">
      <c r="A38" s="2"/>
      <c r="B38" s="2" t="s">
        <v>22</v>
      </c>
      <c r="C38" s="2" t="s">
        <v>23</v>
      </c>
      <c r="D38" s="3">
        <v>2013</v>
      </c>
      <c r="E38" s="3"/>
      <c r="F38" s="3" t="s">
        <v>6</v>
      </c>
      <c r="G38" s="2" t="s">
        <v>6</v>
      </c>
      <c r="H38" s="2" t="s">
        <v>7</v>
      </c>
      <c r="I38" s="4">
        <v>200</v>
      </c>
      <c r="J38" s="4"/>
      <c r="K38" s="4"/>
      <c r="L38" s="2" t="s">
        <v>20</v>
      </c>
      <c r="M38" s="2"/>
      <c r="N38" s="2"/>
      <c r="O38" s="105" t="s">
        <v>181</v>
      </c>
      <c r="P38" s="106" t="s">
        <v>181</v>
      </c>
      <c r="Q38" s="105" t="s">
        <v>181</v>
      </c>
      <c r="R38" s="106" t="s">
        <v>181</v>
      </c>
      <c r="S38" s="105" t="s">
        <v>181</v>
      </c>
      <c r="T38" s="106" t="s">
        <v>181</v>
      </c>
      <c r="U38" s="105" t="s">
        <v>181</v>
      </c>
      <c r="V38" s="106" t="s">
        <v>181</v>
      </c>
      <c r="W38" s="105" t="s">
        <v>181</v>
      </c>
      <c r="X38" s="106" t="s">
        <v>181</v>
      </c>
      <c r="Y38" s="105" t="s">
        <v>181</v>
      </c>
      <c r="Z38" s="106" t="s">
        <v>181</v>
      </c>
      <c r="AA38" s="105" t="s">
        <v>181</v>
      </c>
      <c r="AB38" s="106" t="s">
        <v>181</v>
      </c>
      <c r="AC38" s="105" t="s">
        <v>181</v>
      </c>
      <c r="AD38" s="106" t="s">
        <v>181</v>
      </c>
      <c r="AE38" s="105" t="s">
        <v>181</v>
      </c>
      <c r="AF38" s="106" t="s">
        <v>181</v>
      </c>
      <c r="AG38" s="105" t="s">
        <v>181</v>
      </c>
      <c r="AH38" s="106" t="s">
        <v>181</v>
      </c>
      <c r="AI38" s="105" t="s">
        <v>181</v>
      </c>
      <c r="AJ38" s="106" t="s">
        <v>181</v>
      </c>
      <c r="AK38" s="105" t="s">
        <v>181</v>
      </c>
      <c r="AL38" s="106" t="s">
        <v>181</v>
      </c>
    </row>
    <row r="39" spans="1:38" s="1" customFormat="1" hidden="1" x14ac:dyDescent="0.25">
      <c r="A39" s="2"/>
      <c r="B39" s="2" t="s">
        <v>160</v>
      </c>
      <c r="C39" s="2" t="s">
        <v>161</v>
      </c>
      <c r="D39" s="3" t="s">
        <v>181</v>
      </c>
      <c r="E39" s="3" t="s">
        <v>181</v>
      </c>
      <c r="F39" s="3" t="s">
        <v>181</v>
      </c>
      <c r="G39" s="2" t="s">
        <v>181</v>
      </c>
      <c r="H39" s="2" t="s">
        <v>149</v>
      </c>
      <c r="I39" s="4" t="s">
        <v>139</v>
      </c>
      <c r="J39" s="4" t="s">
        <v>170</v>
      </c>
      <c r="K39" s="4" t="s">
        <v>196</v>
      </c>
      <c r="L39" s="2" t="s">
        <v>78</v>
      </c>
      <c r="M39" s="2"/>
      <c r="N39" s="2"/>
      <c r="O39" s="105" t="s">
        <v>181</v>
      </c>
      <c r="P39" s="106" t="s">
        <v>181</v>
      </c>
      <c r="Q39" s="105" t="s">
        <v>181</v>
      </c>
      <c r="R39" s="106" t="s">
        <v>181</v>
      </c>
      <c r="S39" s="105" t="s">
        <v>181</v>
      </c>
      <c r="T39" s="106" t="s">
        <v>181</v>
      </c>
      <c r="U39" s="105" t="s">
        <v>181</v>
      </c>
      <c r="V39" s="106" t="s">
        <v>181</v>
      </c>
      <c r="W39" s="105" t="s">
        <v>181</v>
      </c>
      <c r="X39" s="106" t="s">
        <v>181</v>
      </c>
      <c r="Y39" s="105" t="s">
        <v>181</v>
      </c>
      <c r="Z39" s="106" t="s">
        <v>181</v>
      </c>
      <c r="AA39" s="105" t="s">
        <v>181</v>
      </c>
      <c r="AB39" s="106" t="s">
        <v>181</v>
      </c>
      <c r="AC39" s="105" t="s">
        <v>181</v>
      </c>
      <c r="AD39" s="106" t="s">
        <v>181</v>
      </c>
      <c r="AE39" s="105" t="s">
        <v>181</v>
      </c>
      <c r="AF39" s="106" t="s">
        <v>181</v>
      </c>
      <c r="AG39" s="105" t="s">
        <v>181</v>
      </c>
      <c r="AH39" s="106" t="s">
        <v>181</v>
      </c>
      <c r="AI39" s="105" t="s">
        <v>181</v>
      </c>
      <c r="AJ39" s="106" t="s">
        <v>181</v>
      </c>
      <c r="AK39" s="105" t="s">
        <v>181</v>
      </c>
      <c r="AL39" s="106" t="s">
        <v>181</v>
      </c>
    </row>
    <row r="40" spans="1:38" s="1" customFormat="1" hidden="1" x14ac:dyDescent="0.25">
      <c r="A40" s="2"/>
      <c r="B40" s="2" t="s">
        <v>168</v>
      </c>
      <c r="C40" s="2" t="s">
        <v>169</v>
      </c>
      <c r="D40" s="3" t="s">
        <v>181</v>
      </c>
      <c r="E40" s="3" t="s">
        <v>181</v>
      </c>
      <c r="F40" s="3" t="s">
        <v>181</v>
      </c>
      <c r="G40" s="2" t="s">
        <v>181</v>
      </c>
      <c r="H40" s="2" t="s">
        <v>181</v>
      </c>
      <c r="I40" s="4" t="s">
        <v>139</v>
      </c>
      <c r="J40" s="4" t="s">
        <v>170</v>
      </c>
      <c r="K40" s="4" t="s">
        <v>149</v>
      </c>
      <c r="L40" s="2"/>
      <c r="M40" s="2"/>
      <c r="N40" s="2"/>
      <c r="O40" s="105" t="s">
        <v>181</v>
      </c>
      <c r="P40" s="106" t="s">
        <v>181</v>
      </c>
      <c r="Q40" s="105" t="s">
        <v>181</v>
      </c>
      <c r="R40" s="106" t="s">
        <v>181</v>
      </c>
      <c r="S40" s="105" t="s">
        <v>181</v>
      </c>
      <c r="T40" s="106" t="s">
        <v>181</v>
      </c>
      <c r="U40" s="105" t="s">
        <v>181</v>
      </c>
      <c r="V40" s="106" t="s">
        <v>181</v>
      </c>
      <c r="W40" s="105" t="s">
        <v>181</v>
      </c>
      <c r="X40" s="106" t="s">
        <v>181</v>
      </c>
      <c r="Y40" s="105" t="s">
        <v>181</v>
      </c>
      <c r="Z40" s="106" t="s">
        <v>181</v>
      </c>
      <c r="AA40" s="105" t="s">
        <v>181</v>
      </c>
      <c r="AB40" s="106" t="s">
        <v>181</v>
      </c>
      <c r="AC40" s="105" t="s">
        <v>181</v>
      </c>
      <c r="AD40" s="106" t="s">
        <v>181</v>
      </c>
      <c r="AE40" s="105" t="s">
        <v>181</v>
      </c>
      <c r="AF40" s="106" t="s">
        <v>181</v>
      </c>
      <c r="AG40" s="105" t="s">
        <v>181</v>
      </c>
      <c r="AH40" s="106" t="s">
        <v>181</v>
      </c>
      <c r="AI40" s="105" t="s">
        <v>181</v>
      </c>
      <c r="AJ40" s="106" t="s">
        <v>181</v>
      </c>
      <c r="AK40" s="105" t="s">
        <v>181</v>
      </c>
      <c r="AL40" s="106" t="s">
        <v>181</v>
      </c>
    </row>
    <row r="41" spans="1:38" s="1" customFormat="1" hidden="1" x14ac:dyDescent="0.25">
      <c r="A41" s="25"/>
      <c r="B41" s="25" t="s">
        <v>26</v>
      </c>
      <c r="C41" s="25" t="s">
        <v>27</v>
      </c>
      <c r="D41" s="27">
        <v>42675</v>
      </c>
      <c r="E41" s="27"/>
      <c r="F41" s="27" t="s">
        <v>28</v>
      </c>
      <c r="G41" s="25" t="s">
        <v>6</v>
      </c>
      <c r="H41" s="42" t="s">
        <v>29</v>
      </c>
      <c r="I41" s="42" t="s">
        <v>149</v>
      </c>
      <c r="J41" s="42" t="s">
        <v>149</v>
      </c>
      <c r="K41" s="42"/>
      <c r="L41" s="42" t="s">
        <v>149</v>
      </c>
      <c r="M41" s="42" t="s">
        <v>149</v>
      </c>
      <c r="N41" s="42"/>
      <c r="O41" s="105" t="s">
        <v>181</v>
      </c>
      <c r="P41" s="106" t="s">
        <v>181</v>
      </c>
      <c r="Q41" s="105" t="s">
        <v>181</v>
      </c>
      <c r="R41" s="106" t="s">
        <v>181</v>
      </c>
      <c r="S41" s="105" t="s">
        <v>181</v>
      </c>
      <c r="T41" s="106" t="s">
        <v>181</v>
      </c>
      <c r="U41" s="105" t="s">
        <v>181</v>
      </c>
      <c r="V41" s="106" t="s">
        <v>181</v>
      </c>
      <c r="W41" s="105" t="s">
        <v>181</v>
      </c>
      <c r="X41" s="106" t="s">
        <v>181</v>
      </c>
      <c r="Y41" s="105" t="s">
        <v>181</v>
      </c>
      <c r="Z41" s="106" t="s">
        <v>181</v>
      </c>
      <c r="AA41" s="105" t="s">
        <v>181</v>
      </c>
      <c r="AB41" s="106" t="s">
        <v>181</v>
      </c>
      <c r="AC41" s="105" t="s">
        <v>181</v>
      </c>
      <c r="AD41" s="106" t="s">
        <v>181</v>
      </c>
      <c r="AE41" s="105" t="s">
        <v>181</v>
      </c>
      <c r="AF41" s="106" t="s">
        <v>181</v>
      </c>
      <c r="AG41" s="105" t="s">
        <v>181</v>
      </c>
      <c r="AH41" s="106" t="s">
        <v>181</v>
      </c>
      <c r="AI41" s="105" t="s">
        <v>181</v>
      </c>
      <c r="AJ41" s="106" t="s">
        <v>181</v>
      </c>
      <c r="AK41" s="105" t="s">
        <v>181</v>
      </c>
      <c r="AL41" s="106" t="s">
        <v>181</v>
      </c>
    </row>
    <row r="42" spans="1:38" s="1" customFormat="1" ht="15" hidden="1" customHeight="1" x14ac:dyDescent="0.25">
      <c r="A42" s="2"/>
      <c r="B42" s="2" t="s">
        <v>163</v>
      </c>
      <c r="C42" s="2" t="s">
        <v>162</v>
      </c>
      <c r="D42" s="3" t="s">
        <v>181</v>
      </c>
      <c r="E42" s="3" t="s">
        <v>181</v>
      </c>
      <c r="F42" s="3" t="s">
        <v>181</v>
      </c>
      <c r="G42" s="2" t="s">
        <v>181</v>
      </c>
      <c r="H42" s="2" t="s">
        <v>181</v>
      </c>
      <c r="I42" s="4" t="s">
        <v>139</v>
      </c>
      <c r="J42" s="4" t="s">
        <v>170</v>
      </c>
      <c r="K42" s="4" t="s">
        <v>149</v>
      </c>
      <c r="L42" s="2"/>
      <c r="M42" s="2"/>
      <c r="N42" s="2"/>
      <c r="O42" s="105" t="s">
        <v>181</v>
      </c>
      <c r="P42" s="106" t="s">
        <v>181</v>
      </c>
      <c r="Q42" s="105" t="s">
        <v>181</v>
      </c>
      <c r="R42" s="106" t="s">
        <v>181</v>
      </c>
      <c r="S42" s="105" t="s">
        <v>181</v>
      </c>
      <c r="T42" s="106" t="s">
        <v>181</v>
      </c>
      <c r="U42" s="105" t="s">
        <v>181</v>
      </c>
      <c r="V42" s="106" t="s">
        <v>181</v>
      </c>
      <c r="W42" s="105" t="s">
        <v>181</v>
      </c>
      <c r="X42" s="106" t="s">
        <v>181</v>
      </c>
      <c r="Y42" s="105" t="s">
        <v>181</v>
      </c>
      <c r="Z42" s="106" t="s">
        <v>181</v>
      </c>
      <c r="AA42" s="105" t="s">
        <v>181</v>
      </c>
      <c r="AB42" s="106" t="s">
        <v>181</v>
      </c>
      <c r="AC42" s="105" t="s">
        <v>181</v>
      </c>
      <c r="AD42" s="106" t="s">
        <v>181</v>
      </c>
      <c r="AE42" s="105" t="s">
        <v>181</v>
      </c>
      <c r="AF42" s="106" t="s">
        <v>181</v>
      </c>
      <c r="AG42" s="105" t="s">
        <v>181</v>
      </c>
      <c r="AH42" s="106" t="s">
        <v>181</v>
      </c>
      <c r="AI42" s="105" t="s">
        <v>181</v>
      </c>
      <c r="AJ42" s="106" t="s">
        <v>181</v>
      </c>
      <c r="AK42" s="105" t="s">
        <v>181</v>
      </c>
      <c r="AL42" s="106" t="s">
        <v>181</v>
      </c>
    </row>
    <row r="43" spans="1:38" s="1" customFormat="1" hidden="1" x14ac:dyDescent="0.25">
      <c r="A43" s="2"/>
      <c r="B43" s="2" t="s">
        <v>35</v>
      </c>
      <c r="C43" s="2" t="s">
        <v>36</v>
      </c>
      <c r="D43" s="3">
        <v>41620</v>
      </c>
      <c r="E43" s="3"/>
      <c r="F43" s="3" t="s">
        <v>6</v>
      </c>
      <c r="G43" s="2" t="s">
        <v>6</v>
      </c>
      <c r="H43" s="2" t="s">
        <v>7</v>
      </c>
      <c r="I43" s="4">
        <v>134.9</v>
      </c>
      <c r="J43" s="4"/>
      <c r="K43" s="4"/>
      <c r="L43" s="2" t="s">
        <v>20</v>
      </c>
      <c r="M43" s="2"/>
      <c r="N43" s="2"/>
      <c r="O43" s="105" t="s">
        <v>181</v>
      </c>
      <c r="P43" s="106" t="s">
        <v>181</v>
      </c>
      <c r="Q43" s="105" t="s">
        <v>181</v>
      </c>
      <c r="R43" s="106" t="s">
        <v>181</v>
      </c>
      <c r="S43" s="105" t="s">
        <v>181</v>
      </c>
      <c r="T43" s="106" t="s">
        <v>181</v>
      </c>
      <c r="U43" s="105" t="s">
        <v>181</v>
      </c>
      <c r="V43" s="106" t="s">
        <v>181</v>
      </c>
      <c r="W43" s="105" t="s">
        <v>181</v>
      </c>
      <c r="X43" s="106" t="s">
        <v>181</v>
      </c>
      <c r="Y43" s="105" t="s">
        <v>181</v>
      </c>
      <c r="Z43" s="106" t="s">
        <v>181</v>
      </c>
      <c r="AA43" s="105" t="s">
        <v>181</v>
      </c>
      <c r="AB43" s="106" t="s">
        <v>181</v>
      </c>
      <c r="AC43" s="105" t="s">
        <v>181</v>
      </c>
      <c r="AD43" s="106" t="s">
        <v>181</v>
      </c>
      <c r="AE43" s="105" t="s">
        <v>181</v>
      </c>
      <c r="AF43" s="106" t="s">
        <v>181</v>
      </c>
      <c r="AG43" s="105" t="s">
        <v>181</v>
      </c>
      <c r="AH43" s="106" t="s">
        <v>181</v>
      </c>
      <c r="AI43" s="105" t="s">
        <v>181</v>
      </c>
      <c r="AJ43" s="106" t="s">
        <v>181</v>
      </c>
      <c r="AK43" s="105" t="s">
        <v>181</v>
      </c>
      <c r="AL43" s="106" t="s">
        <v>181</v>
      </c>
    </row>
    <row r="44" spans="1:38" s="1" customFormat="1" hidden="1" x14ac:dyDescent="0.25">
      <c r="A44" s="2"/>
      <c r="B44" s="2" t="s">
        <v>35</v>
      </c>
      <c r="C44" s="2" t="s">
        <v>40</v>
      </c>
      <c r="D44" s="3">
        <v>41620</v>
      </c>
      <c r="E44" s="3"/>
      <c r="F44" s="3" t="s">
        <v>6</v>
      </c>
      <c r="G44" s="2" t="s">
        <v>6</v>
      </c>
      <c r="H44" s="2" t="s">
        <v>15</v>
      </c>
      <c r="I44" s="4" t="s">
        <v>41</v>
      </c>
      <c r="J44" s="4"/>
      <c r="K44" s="4"/>
      <c r="L44" s="2" t="s">
        <v>20</v>
      </c>
      <c r="M44" s="2"/>
      <c r="N44" s="2"/>
      <c r="O44" s="105" t="s">
        <v>181</v>
      </c>
      <c r="P44" s="106" t="s">
        <v>181</v>
      </c>
      <c r="Q44" s="105" t="s">
        <v>181</v>
      </c>
      <c r="R44" s="106" t="s">
        <v>181</v>
      </c>
      <c r="S44" s="105" t="s">
        <v>181</v>
      </c>
      <c r="T44" s="106" t="s">
        <v>181</v>
      </c>
      <c r="U44" s="105" t="s">
        <v>181</v>
      </c>
      <c r="V44" s="106" t="s">
        <v>181</v>
      </c>
      <c r="W44" s="105" t="s">
        <v>181</v>
      </c>
      <c r="X44" s="106" t="s">
        <v>181</v>
      </c>
      <c r="Y44" s="105" t="s">
        <v>181</v>
      </c>
      <c r="Z44" s="106" t="s">
        <v>181</v>
      </c>
      <c r="AA44" s="105" t="s">
        <v>181</v>
      </c>
      <c r="AB44" s="106" t="s">
        <v>181</v>
      </c>
      <c r="AC44" s="105" t="s">
        <v>181</v>
      </c>
      <c r="AD44" s="106" t="s">
        <v>181</v>
      </c>
      <c r="AE44" s="105" t="s">
        <v>181</v>
      </c>
      <c r="AF44" s="106" t="s">
        <v>181</v>
      </c>
      <c r="AG44" s="105" t="s">
        <v>181</v>
      </c>
      <c r="AH44" s="106" t="s">
        <v>181</v>
      </c>
      <c r="AI44" s="105" t="s">
        <v>181</v>
      </c>
      <c r="AJ44" s="106" t="s">
        <v>181</v>
      </c>
      <c r="AK44" s="105" t="s">
        <v>181</v>
      </c>
      <c r="AL44" s="106" t="s">
        <v>181</v>
      </c>
    </row>
    <row r="45" spans="1:38" s="1" customFormat="1" ht="15" hidden="1" customHeight="1" x14ac:dyDescent="0.25">
      <c r="A45" s="2"/>
      <c r="B45" s="2" t="s">
        <v>80</v>
      </c>
      <c r="C45" s="2" t="s">
        <v>81</v>
      </c>
      <c r="D45" s="3"/>
      <c r="E45" s="3"/>
      <c r="F45" s="3" t="s">
        <v>6</v>
      </c>
      <c r="G45" s="23" t="s">
        <v>89</v>
      </c>
      <c r="H45" s="23"/>
      <c r="I45" s="4">
        <v>2150</v>
      </c>
      <c r="J45" s="4"/>
      <c r="K45" s="4"/>
      <c r="L45" s="2" t="s">
        <v>82</v>
      </c>
      <c r="M45" s="2"/>
      <c r="N45" s="2"/>
      <c r="O45" s="105" t="s">
        <v>181</v>
      </c>
      <c r="P45" s="106" t="s">
        <v>181</v>
      </c>
      <c r="Q45" s="105" t="s">
        <v>181</v>
      </c>
      <c r="R45" s="106" t="s">
        <v>181</v>
      </c>
      <c r="S45" s="105" t="s">
        <v>181</v>
      </c>
      <c r="T45" s="106" t="s">
        <v>181</v>
      </c>
      <c r="U45" s="105" t="s">
        <v>181</v>
      </c>
      <c r="V45" s="106" t="s">
        <v>181</v>
      </c>
      <c r="W45" s="105" t="s">
        <v>181</v>
      </c>
      <c r="X45" s="106" t="s">
        <v>181</v>
      </c>
      <c r="Y45" s="105" t="s">
        <v>181</v>
      </c>
      <c r="Z45" s="106" t="s">
        <v>181</v>
      </c>
      <c r="AA45" s="105" t="s">
        <v>181</v>
      </c>
      <c r="AB45" s="106" t="s">
        <v>181</v>
      </c>
      <c r="AC45" s="105" t="s">
        <v>181</v>
      </c>
      <c r="AD45" s="106" t="s">
        <v>181</v>
      </c>
      <c r="AE45" s="105" t="s">
        <v>181</v>
      </c>
      <c r="AF45" s="106" t="s">
        <v>181</v>
      </c>
      <c r="AG45" s="105" t="s">
        <v>181</v>
      </c>
      <c r="AH45" s="106" t="s">
        <v>181</v>
      </c>
      <c r="AI45" s="105" t="s">
        <v>181</v>
      </c>
      <c r="AJ45" s="106" t="s">
        <v>181</v>
      </c>
      <c r="AK45" s="105" t="s">
        <v>181</v>
      </c>
      <c r="AL45" s="106" t="s">
        <v>181</v>
      </c>
    </row>
    <row r="46" spans="1:38" s="1" customFormat="1" ht="15" hidden="1" customHeight="1" x14ac:dyDescent="0.25">
      <c r="A46" s="2"/>
      <c r="B46" s="2" t="s">
        <v>97</v>
      </c>
      <c r="C46" s="2" t="s">
        <v>98</v>
      </c>
      <c r="D46" s="3"/>
      <c r="E46" s="3"/>
      <c r="F46" s="3">
        <v>43252</v>
      </c>
      <c r="G46" s="2"/>
      <c r="H46" s="2"/>
      <c r="I46" s="4">
        <v>1000</v>
      </c>
      <c r="J46" s="4"/>
      <c r="K46" s="4"/>
      <c r="L46" s="2" t="s">
        <v>82</v>
      </c>
      <c r="M46" s="2"/>
      <c r="N46" s="2"/>
      <c r="O46" s="105" t="s">
        <v>181</v>
      </c>
      <c r="P46" s="106" t="s">
        <v>181</v>
      </c>
      <c r="Q46" s="105" t="s">
        <v>181</v>
      </c>
      <c r="R46" s="106" t="s">
        <v>181</v>
      </c>
      <c r="S46" s="105" t="s">
        <v>181</v>
      </c>
      <c r="T46" s="106" t="s">
        <v>181</v>
      </c>
      <c r="U46" s="105" t="s">
        <v>181</v>
      </c>
      <c r="V46" s="106" t="s">
        <v>181</v>
      </c>
      <c r="W46" s="105" t="s">
        <v>181</v>
      </c>
      <c r="X46" s="106" t="s">
        <v>181</v>
      </c>
      <c r="Y46" s="105" t="s">
        <v>181</v>
      </c>
      <c r="Z46" s="106" t="s">
        <v>181</v>
      </c>
      <c r="AA46" s="105" t="s">
        <v>181</v>
      </c>
      <c r="AB46" s="106" t="s">
        <v>181</v>
      </c>
      <c r="AC46" s="105" t="s">
        <v>181</v>
      </c>
      <c r="AD46" s="106" t="s">
        <v>181</v>
      </c>
      <c r="AE46" s="105" t="s">
        <v>181</v>
      </c>
      <c r="AF46" s="106" t="s">
        <v>181</v>
      </c>
      <c r="AG46" s="105" t="s">
        <v>181</v>
      </c>
      <c r="AH46" s="106" t="s">
        <v>181</v>
      </c>
      <c r="AI46" s="105" t="s">
        <v>181</v>
      </c>
      <c r="AJ46" s="106" t="s">
        <v>181</v>
      </c>
      <c r="AK46" s="105" t="s">
        <v>181</v>
      </c>
      <c r="AL46" s="106" t="s">
        <v>181</v>
      </c>
    </row>
    <row r="47" spans="1:38" s="1" customFormat="1" ht="15" hidden="1" customHeight="1" x14ac:dyDescent="0.25">
      <c r="A47" s="2"/>
      <c r="B47" s="2" t="s">
        <v>101</v>
      </c>
      <c r="C47" s="2" t="s">
        <v>102</v>
      </c>
      <c r="D47" s="3" t="s">
        <v>181</v>
      </c>
      <c r="E47" s="26" t="s">
        <v>181</v>
      </c>
      <c r="F47" s="3"/>
      <c r="G47" s="2"/>
      <c r="H47" s="2"/>
      <c r="I47" s="4"/>
      <c r="J47" s="4" t="s">
        <v>164</v>
      </c>
      <c r="K47" s="4" t="s">
        <v>181</v>
      </c>
      <c r="L47" s="2" t="s">
        <v>149</v>
      </c>
      <c r="M47" s="2" t="s">
        <v>275</v>
      </c>
      <c r="N47" s="2"/>
      <c r="O47" s="105" t="s">
        <v>181</v>
      </c>
      <c r="P47" s="106" t="s">
        <v>181</v>
      </c>
      <c r="Q47" s="105" t="s">
        <v>181</v>
      </c>
      <c r="R47" s="106" t="s">
        <v>181</v>
      </c>
      <c r="S47" s="105" t="s">
        <v>181</v>
      </c>
      <c r="T47" s="106" t="s">
        <v>181</v>
      </c>
      <c r="U47" s="105" t="s">
        <v>181</v>
      </c>
      <c r="V47" s="106" t="s">
        <v>181</v>
      </c>
      <c r="W47" s="105" t="s">
        <v>181</v>
      </c>
      <c r="X47" s="106" t="s">
        <v>181</v>
      </c>
      <c r="Y47" s="105" t="s">
        <v>181</v>
      </c>
      <c r="Z47" s="106" t="s">
        <v>181</v>
      </c>
      <c r="AA47" s="105" t="s">
        <v>181</v>
      </c>
      <c r="AB47" s="106" t="s">
        <v>181</v>
      </c>
      <c r="AC47" s="105" t="s">
        <v>181</v>
      </c>
      <c r="AD47" s="106" t="s">
        <v>181</v>
      </c>
      <c r="AE47" s="105" t="s">
        <v>181</v>
      </c>
      <c r="AF47" s="106" t="s">
        <v>181</v>
      </c>
      <c r="AG47" s="105" t="s">
        <v>181</v>
      </c>
      <c r="AH47" s="106" t="s">
        <v>181</v>
      </c>
      <c r="AI47" s="105" t="s">
        <v>181</v>
      </c>
      <c r="AJ47" s="106" t="s">
        <v>181</v>
      </c>
      <c r="AK47" s="105" t="s">
        <v>181</v>
      </c>
      <c r="AL47" s="106" t="s">
        <v>181</v>
      </c>
    </row>
    <row r="48" spans="1:38" s="1" customFormat="1" ht="15" hidden="1" customHeight="1" x14ac:dyDescent="0.25">
      <c r="A48" s="25"/>
      <c r="B48" s="25" t="s">
        <v>43</v>
      </c>
      <c r="C48" s="25" t="s">
        <v>103</v>
      </c>
      <c r="D48" s="26">
        <v>42880</v>
      </c>
      <c r="E48" s="26"/>
      <c r="F48" s="26" t="s">
        <v>6</v>
      </c>
      <c r="G48" s="73" t="s">
        <v>6</v>
      </c>
      <c r="H48" s="73" t="s">
        <v>7</v>
      </c>
      <c r="I48" s="27">
        <v>392</v>
      </c>
      <c r="J48" s="27" t="s">
        <v>140</v>
      </c>
      <c r="K48" s="27"/>
      <c r="L48" s="25" t="s">
        <v>149</v>
      </c>
      <c r="M48" s="41" t="s">
        <v>144</v>
      </c>
      <c r="N48" s="41"/>
      <c r="O48" s="105" t="s">
        <v>181</v>
      </c>
      <c r="P48" s="106">
        <v>0</v>
      </c>
      <c r="Q48" s="105" t="s">
        <v>181</v>
      </c>
      <c r="R48" s="106">
        <v>0</v>
      </c>
      <c r="S48" s="105" t="s">
        <v>181</v>
      </c>
      <c r="T48" s="106">
        <v>0</v>
      </c>
      <c r="U48" s="105" t="s">
        <v>181</v>
      </c>
      <c r="V48" s="106">
        <v>0</v>
      </c>
      <c r="W48" s="105" t="s">
        <v>181</v>
      </c>
      <c r="X48" s="106">
        <v>0</v>
      </c>
      <c r="Y48" s="105" t="s">
        <v>181</v>
      </c>
      <c r="Z48" s="106">
        <v>0</v>
      </c>
      <c r="AA48" s="105" t="s">
        <v>181</v>
      </c>
      <c r="AB48" s="106">
        <v>0</v>
      </c>
      <c r="AC48" s="105" t="s">
        <v>181</v>
      </c>
      <c r="AD48" s="106">
        <v>0</v>
      </c>
      <c r="AE48" s="105" t="s">
        <v>181</v>
      </c>
      <c r="AF48" s="106">
        <v>0</v>
      </c>
      <c r="AG48" s="105" t="s">
        <v>181</v>
      </c>
      <c r="AH48" s="106">
        <v>0</v>
      </c>
      <c r="AI48" s="105" t="s">
        <v>181</v>
      </c>
      <c r="AJ48" s="106">
        <v>0</v>
      </c>
      <c r="AK48" s="105" t="s">
        <v>181</v>
      </c>
      <c r="AL48" s="106">
        <v>0</v>
      </c>
    </row>
    <row r="49" spans="1:38" s="128" customFormat="1" ht="15.75" x14ac:dyDescent="0.25">
      <c r="A49" s="141"/>
      <c r="B49" s="122"/>
      <c r="C49" s="122"/>
      <c r="D49" s="123"/>
      <c r="E49" s="123"/>
      <c r="F49" s="123"/>
      <c r="G49" s="122"/>
      <c r="H49" s="122"/>
      <c r="I49" s="124"/>
      <c r="J49" s="124"/>
      <c r="K49" s="124"/>
      <c r="L49" s="122"/>
      <c r="M49" s="122"/>
      <c r="N49" s="122"/>
      <c r="O49" s="125"/>
      <c r="P49" s="126">
        <f>SUBTOTAL(9,P3:P48)</f>
        <v>30304.93</v>
      </c>
      <c r="Q49" s="125"/>
      <c r="R49" s="126">
        <f>SUBTOTAL(9,R3:R48)</f>
        <v>30166.730000000003</v>
      </c>
      <c r="S49" s="125"/>
      <c r="T49" s="126">
        <f>SUBTOTAL(9,T3:T48)</f>
        <v>29587.140000000003</v>
      </c>
      <c r="U49" s="125"/>
      <c r="V49" s="126">
        <f>SUBTOTAL(9,V3:V48)</f>
        <v>30356.450000000004</v>
      </c>
      <c r="W49" s="125"/>
      <c r="X49" s="126">
        <f>SUBTOTAL(9,X3:X48)</f>
        <v>32162.97</v>
      </c>
      <c r="Y49" s="127"/>
      <c r="Z49" s="126">
        <f>SUBTOTAL(9,Z3:Z48)</f>
        <v>31740.814000000002</v>
      </c>
      <c r="AA49" s="125"/>
      <c r="AB49" s="126">
        <f>SUBTOTAL(9,AB3:AB48)</f>
        <v>33300.380000000005</v>
      </c>
      <c r="AC49" s="125"/>
      <c r="AD49" s="126">
        <f>SUBTOTAL(9,AD3:AD48)</f>
        <v>33209.570000000007</v>
      </c>
      <c r="AE49" s="125"/>
      <c r="AF49" s="126">
        <f>SUBTOTAL(9,AF3:AF48)</f>
        <v>32239.229999999992</v>
      </c>
      <c r="AG49" s="127"/>
      <c r="AH49" s="126">
        <f>SUBTOTAL(9,AH3:AH48)</f>
        <v>36391.629999999997</v>
      </c>
      <c r="AI49" s="127"/>
      <c r="AJ49" s="126">
        <f>SUBTOTAL(9,AJ3:AJ48)</f>
        <v>30795.21</v>
      </c>
      <c r="AK49" s="127"/>
      <c r="AL49" s="126">
        <f>SUBTOTAL(9,AL3:AL48)</f>
        <v>33682.369999999995</v>
      </c>
    </row>
    <row r="50" spans="1:38" s="1" customFormat="1" x14ac:dyDescent="0.25">
      <c r="A50" s="55"/>
      <c r="B50" s="55" t="s">
        <v>61</v>
      </c>
      <c r="C50" s="56"/>
      <c r="D50" s="56"/>
      <c r="E50" s="56"/>
      <c r="F50" s="56"/>
      <c r="G50" s="56"/>
      <c r="H50" s="56"/>
      <c r="I50" s="56"/>
      <c r="J50" s="56"/>
      <c r="K50" s="56"/>
      <c r="L50" s="56" t="s">
        <v>78</v>
      </c>
      <c r="M50" s="56"/>
      <c r="N50" s="56"/>
      <c r="O50" s="57"/>
      <c r="P50" s="58"/>
      <c r="Q50" s="57"/>
      <c r="R50" s="58"/>
      <c r="S50" s="57"/>
      <c r="T50" s="58"/>
      <c r="U50" s="57"/>
      <c r="V50" s="58"/>
      <c r="W50" s="57"/>
      <c r="X50" s="58"/>
      <c r="Y50" s="57"/>
      <c r="Z50" s="58"/>
      <c r="AA50" s="57"/>
      <c r="AB50" s="58"/>
      <c r="AC50" s="57"/>
      <c r="AD50" s="58"/>
      <c r="AE50" s="57"/>
      <c r="AF50" s="58"/>
      <c r="AG50" s="57"/>
      <c r="AH50" s="58"/>
      <c r="AI50" s="57"/>
      <c r="AJ50" s="58"/>
      <c r="AK50" s="57"/>
      <c r="AL50" s="58"/>
    </row>
    <row r="51" spans="1:38" s="1" customFormat="1" hidden="1" x14ac:dyDescent="0.25">
      <c r="A51" s="121"/>
      <c r="B51" s="35" t="s">
        <v>224</v>
      </c>
      <c r="C51" s="36" t="s">
        <v>202</v>
      </c>
      <c r="D51" s="37" t="s">
        <v>181</v>
      </c>
      <c r="E51" s="37" t="s">
        <v>181</v>
      </c>
      <c r="F51" s="37" t="s">
        <v>181</v>
      </c>
      <c r="G51" s="36" t="s">
        <v>181</v>
      </c>
      <c r="H51" s="36" t="s">
        <v>181</v>
      </c>
      <c r="I51" s="38" t="s">
        <v>181</v>
      </c>
      <c r="J51" s="38" t="s">
        <v>181</v>
      </c>
      <c r="K51" s="38" t="s">
        <v>181</v>
      </c>
      <c r="L51" s="2" t="s">
        <v>78</v>
      </c>
      <c r="M51" s="36"/>
      <c r="N51" s="36" t="s">
        <v>181</v>
      </c>
      <c r="O51" s="110" t="s">
        <v>181</v>
      </c>
      <c r="P51" s="111" t="s">
        <v>181</v>
      </c>
      <c r="Q51" s="112" t="s">
        <v>181</v>
      </c>
      <c r="R51" s="111" t="s">
        <v>181</v>
      </c>
      <c r="S51" s="112" t="s">
        <v>181</v>
      </c>
      <c r="T51" s="111" t="s">
        <v>181</v>
      </c>
      <c r="U51" s="113" t="s">
        <v>181</v>
      </c>
      <c r="V51" s="113" t="s">
        <v>181</v>
      </c>
      <c r="W51" s="110" t="s">
        <v>181</v>
      </c>
      <c r="X51" s="113" t="s">
        <v>181</v>
      </c>
      <c r="Y51" s="110" t="s">
        <v>181</v>
      </c>
      <c r="Z51" s="113" t="s">
        <v>181</v>
      </c>
      <c r="AA51" s="110" t="s">
        <v>181</v>
      </c>
      <c r="AB51" s="113" t="s">
        <v>181</v>
      </c>
      <c r="AC51" s="107" t="s">
        <v>181</v>
      </c>
      <c r="AD51" s="113" t="s">
        <v>181</v>
      </c>
      <c r="AE51" s="112" t="s">
        <v>181</v>
      </c>
      <c r="AF51" s="111" t="s">
        <v>181</v>
      </c>
      <c r="AG51" s="112" t="s">
        <v>181</v>
      </c>
      <c r="AH51" s="111" t="s">
        <v>181</v>
      </c>
      <c r="AI51" s="112" t="s">
        <v>181</v>
      </c>
      <c r="AJ51" s="111" t="s">
        <v>181</v>
      </c>
      <c r="AK51" s="112" t="s">
        <v>181</v>
      </c>
      <c r="AL51" s="114" t="s">
        <v>181</v>
      </c>
    </row>
    <row r="52" spans="1:38" s="1" customFormat="1" hidden="1" x14ac:dyDescent="0.25">
      <c r="A52" s="120"/>
      <c r="B52" s="35" t="s">
        <v>274</v>
      </c>
      <c r="C52" s="36" t="s">
        <v>204</v>
      </c>
      <c r="D52" s="37" t="s">
        <v>181</v>
      </c>
      <c r="E52" s="37" t="s">
        <v>181</v>
      </c>
      <c r="F52" s="37" t="s">
        <v>181</v>
      </c>
      <c r="G52" s="36" t="s">
        <v>181</v>
      </c>
      <c r="H52" s="36" t="s">
        <v>181</v>
      </c>
      <c r="I52" s="38" t="s">
        <v>181</v>
      </c>
      <c r="J52" s="38" t="s">
        <v>181</v>
      </c>
      <c r="K52" s="38" t="s">
        <v>181</v>
      </c>
      <c r="L52" s="2" t="s">
        <v>78</v>
      </c>
      <c r="M52" s="36"/>
      <c r="N52" s="36"/>
      <c r="O52" s="110" t="s">
        <v>181</v>
      </c>
      <c r="P52" s="111" t="s">
        <v>181</v>
      </c>
      <c r="Q52" s="112" t="s">
        <v>181</v>
      </c>
      <c r="R52" s="111" t="s">
        <v>181</v>
      </c>
      <c r="S52" s="112" t="s">
        <v>181</v>
      </c>
      <c r="T52" s="111" t="s">
        <v>181</v>
      </c>
      <c r="U52" s="112" t="s">
        <v>181</v>
      </c>
      <c r="V52" s="111" t="s">
        <v>181</v>
      </c>
      <c r="W52" s="110" t="s">
        <v>181</v>
      </c>
      <c r="X52" s="111" t="s">
        <v>181</v>
      </c>
      <c r="Y52" s="110" t="s">
        <v>181</v>
      </c>
      <c r="Z52" s="111" t="s">
        <v>181</v>
      </c>
      <c r="AA52" s="110" t="s">
        <v>181</v>
      </c>
      <c r="AB52" s="111" t="s">
        <v>181</v>
      </c>
      <c r="AC52" s="107" t="s">
        <v>181</v>
      </c>
      <c r="AD52" s="111" t="s">
        <v>181</v>
      </c>
      <c r="AE52" s="112" t="s">
        <v>181</v>
      </c>
      <c r="AF52" s="111" t="s">
        <v>181</v>
      </c>
      <c r="AG52" s="112" t="s">
        <v>181</v>
      </c>
      <c r="AH52" s="111" t="s">
        <v>181</v>
      </c>
      <c r="AI52" s="112" t="s">
        <v>181</v>
      </c>
      <c r="AJ52" s="111" t="s">
        <v>181</v>
      </c>
      <c r="AK52" s="112" t="s">
        <v>181</v>
      </c>
      <c r="AL52" s="114" t="s">
        <v>181</v>
      </c>
    </row>
    <row r="53" spans="1:38" s="1" customFormat="1" hidden="1" x14ac:dyDescent="0.25">
      <c r="A53" s="121"/>
      <c r="B53" s="35" t="s">
        <v>50</v>
      </c>
      <c r="C53" s="36"/>
      <c r="D53" s="37"/>
      <c r="E53" s="37"/>
      <c r="F53" s="37"/>
      <c r="G53" s="36" t="s">
        <v>181</v>
      </c>
      <c r="H53" s="36" t="s">
        <v>181</v>
      </c>
      <c r="I53" s="38"/>
      <c r="J53" s="38"/>
      <c r="K53" s="38"/>
      <c r="L53" s="2"/>
      <c r="M53" s="36"/>
      <c r="N53" s="36"/>
      <c r="O53" s="110" t="s">
        <v>181</v>
      </c>
      <c r="P53" s="111" t="s">
        <v>181</v>
      </c>
      <c r="Q53" s="112" t="s">
        <v>181</v>
      </c>
      <c r="R53" s="111" t="s">
        <v>181</v>
      </c>
      <c r="S53" s="112" t="s">
        <v>181</v>
      </c>
      <c r="T53" s="111" t="s">
        <v>181</v>
      </c>
      <c r="U53" s="112" t="s">
        <v>181</v>
      </c>
      <c r="V53" s="111" t="s">
        <v>181</v>
      </c>
      <c r="W53" s="110" t="s">
        <v>181</v>
      </c>
      <c r="X53" s="111" t="s">
        <v>181</v>
      </c>
      <c r="Y53" s="110" t="s">
        <v>181</v>
      </c>
      <c r="Z53" s="111" t="s">
        <v>181</v>
      </c>
      <c r="AA53" s="110" t="s">
        <v>181</v>
      </c>
      <c r="AB53" s="111" t="s">
        <v>181</v>
      </c>
      <c r="AC53" s="107" t="s">
        <v>181</v>
      </c>
      <c r="AD53" s="111" t="s">
        <v>181</v>
      </c>
      <c r="AE53" s="112" t="s">
        <v>181</v>
      </c>
      <c r="AF53" s="111" t="s">
        <v>181</v>
      </c>
      <c r="AG53" s="112" t="s">
        <v>181</v>
      </c>
      <c r="AH53" s="111" t="s">
        <v>181</v>
      </c>
      <c r="AI53" s="112" t="s">
        <v>181</v>
      </c>
      <c r="AJ53" s="111" t="s">
        <v>181</v>
      </c>
      <c r="AK53" s="112" t="s">
        <v>181</v>
      </c>
      <c r="AL53" s="114" t="s">
        <v>181</v>
      </c>
    </row>
    <row r="54" spans="1:38" s="1" customFormat="1" x14ac:dyDescent="0.25">
      <c r="A54" s="120"/>
      <c r="B54" s="35" t="s">
        <v>300</v>
      </c>
      <c r="C54" s="36" t="s">
        <v>301</v>
      </c>
      <c r="D54" s="37" t="s">
        <v>181</v>
      </c>
      <c r="E54" s="37" t="s">
        <v>181</v>
      </c>
      <c r="F54" s="37" t="s">
        <v>181</v>
      </c>
      <c r="G54" s="36" t="s">
        <v>181</v>
      </c>
      <c r="H54" s="36" t="s">
        <v>181</v>
      </c>
      <c r="I54" s="38" t="s">
        <v>181</v>
      </c>
      <c r="J54" s="38" t="s">
        <v>181</v>
      </c>
      <c r="K54" s="38" t="s">
        <v>181</v>
      </c>
      <c r="L54" s="2" t="s">
        <v>78</v>
      </c>
      <c r="M54" s="36" t="s">
        <v>181</v>
      </c>
      <c r="N54" s="36" t="s">
        <v>181</v>
      </c>
      <c r="O54" s="110" t="s">
        <v>181</v>
      </c>
      <c r="P54" s="111" t="s">
        <v>181</v>
      </c>
      <c r="Q54" s="112" t="s">
        <v>181</v>
      </c>
      <c r="R54" s="111" t="s">
        <v>181</v>
      </c>
      <c r="S54" s="112" t="s">
        <v>181</v>
      </c>
      <c r="T54" s="111" t="s">
        <v>181</v>
      </c>
      <c r="U54" s="112" t="s">
        <v>181</v>
      </c>
      <c r="V54" s="111" t="s">
        <v>181</v>
      </c>
      <c r="W54" s="110" t="s">
        <v>181</v>
      </c>
      <c r="X54" s="111" t="s">
        <v>181</v>
      </c>
      <c r="Y54" s="110" t="s">
        <v>181</v>
      </c>
      <c r="Z54" s="111" t="s">
        <v>181</v>
      </c>
      <c r="AA54" s="110" t="s">
        <v>181</v>
      </c>
      <c r="AB54" s="111" t="s">
        <v>181</v>
      </c>
      <c r="AC54" s="107" t="s">
        <v>181</v>
      </c>
      <c r="AD54" s="111" t="s">
        <v>181</v>
      </c>
      <c r="AE54" s="112" t="s">
        <v>181</v>
      </c>
      <c r="AF54" s="111" t="s">
        <v>181</v>
      </c>
      <c r="AG54" s="112" t="s">
        <v>181</v>
      </c>
      <c r="AH54" s="111" t="s">
        <v>181</v>
      </c>
      <c r="AI54" s="112" t="s">
        <v>181</v>
      </c>
      <c r="AJ54" s="111" t="s">
        <v>181</v>
      </c>
      <c r="AK54" s="112" t="s">
        <v>181</v>
      </c>
      <c r="AL54" s="114" t="s">
        <v>181</v>
      </c>
    </row>
    <row r="55" spans="1:38" s="1" customFormat="1" x14ac:dyDescent="0.25">
      <c r="A55" s="120"/>
      <c r="B55" s="35" t="s">
        <v>52</v>
      </c>
      <c r="C55" s="36" t="s">
        <v>302</v>
      </c>
      <c r="D55" s="37" t="s">
        <v>181</v>
      </c>
      <c r="E55" s="37" t="s">
        <v>181</v>
      </c>
      <c r="F55" s="37" t="s">
        <v>181</v>
      </c>
      <c r="G55" s="36" t="s">
        <v>181</v>
      </c>
      <c r="H55" s="36" t="s">
        <v>181</v>
      </c>
      <c r="I55" s="38" t="s">
        <v>181</v>
      </c>
      <c r="J55" s="38" t="s">
        <v>181</v>
      </c>
      <c r="K55" s="38" t="s">
        <v>181</v>
      </c>
      <c r="L55" s="2" t="s">
        <v>78</v>
      </c>
      <c r="M55" s="36" t="s">
        <v>181</v>
      </c>
      <c r="N55" s="36" t="s">
        <v>181</v>
      </c>
      <c r="O55" s="110" t="s">
        <v>181</v>
      </c>
      <c r="P55" s="111" t="s">
        <v>181</v>
      </c>
      <c r="Q55" s="112" t="s">
        <v>181</v>
      </c>
      <c r="R55" s="111" t="s">
        <v>181</v>
      </c>
      <c r="S55" s="112" t="s">
        <v>181</v>
      </c>
      <c r="T55" s="111" t="s">
        <v>181</v>
      </c>
      <c r="U55" s="112" t="s">
        <v>181</v>
      </c>
      <c r="V55" s="111" t="s">
        <v>181</v>
      </c>
      <c r="W55" s="110" t="s">
        <v>181</v>
      </c>
      <c r="X55" s="111" t="s">
        <v>181</v>
      </c>
      <c r="Y55" s="110" t="s">
        <v>181</v>
      </c>
      <c r="Z55" s="111" t="s">
        <v>181</v>
      </c>
      <c r="AA55" s="110" t="s">
        <v>181</v>
      </c>
      <c r="AB55" s="111" t="s">
        <v>181</v>
      </c>
      <c r="AC55" s="107" t="s">
        <v>181</v>
      </c>
      <c r="AD55" s="111" t="s">
        <v>181</v>
      </c>
      <c r="AE55" s="112" t="s">
        <v>181</v>
      </c>
      <c r="AF55" s="111" t="s">
        <v>181</v>
      </c>
      <c r="AG55" s="112" t="s">
        <v>181</v>
      </c>
      <c r="AH55" s="111" t="s">
        <v>181</v>
      </c>
      <c r="AI55" s="112" t="s">
        <v>181</v>
      </c>
      <c r="AJ55" s="111" t="s">
        <v>181</v>
      </c>
      <c r="AK55" s="112" t="s">
        <v>181</v>
      </c>
      <c r="AL55" s="114" t="s">
        <v>181</v>
      </c>
    </row>
    <row r="56" spans="1:38" s="1" customFormat="1" x14ac:dyDescent="0.25">
      <c r="A56" s="120"/>
      <c r="B56" s="35" t="s">
        <v>315</v>
      </c>
      <c r="C56" s="36"/>
      <c r="D56" s="37"/>
      <c r="E56" s="37"/>
      <c r="F56" s="37"/>
      <c r="G56" s="36"/>
      <c r="H56" s="36"/>
      <c r="I56" s="38"/>
      <c r="J56" s="38"/>
      <c r="K56" s="38"/>
      <c r="L56" s="2"/>
      <c r="M56" s="36"/>
      <c r="N56" s="36"/>
      <c r="O56" s="110"/>
      <c r="P56" s="111"/>
      <c r="Q56" s="112"/>
      <c r="R56" s="111"/>
      <c r="S56" s="112"/>
      <c r="T56" s="111"/>
      <c r="U56" s="112"/>
      <c r="V56" s="111"/>
      <c r="W56" s="110"/>
      <c r="X56" s="111"/>
      <c r="Y56" s="110"/>
      <c r="Z56" s="111"/>
      <c r="AA56" s="110">
        <v>45113</v>
      </c>
      <c r="AB56" s="111">
        <v>12500</v>
      </c>
      <c r="AC56" s="110"/>
      <c r="AD56" s="111"/>
      <c r="AE56" s="112"/>
      <c r="AF56" s="111"/>
      <c r="AG56" s="112"/>
      <c r="AH56" s="111"/>
      <c r="AI56" s="112"/>
      <c r="AJ56" s="111"/>
      <c r="AK56" s="112"/>
      <c r="AL56" s="114"/>
    </row>
    <row r="57" spans="1:38" s="1" customFormat="1" x14ac:dyDescent="0.25">
      <c r="A57" s="120"/>
      <c r="B57" s="35" t="s">
        <v>316</v>
      </c>
      <c r="C57" s="36"/>
      <c r="D57" s="37"/>
      <c r="E57" s="37"/>
      <c r="F57" s="37"/>
      <c r="G57" s="36"/>
      <c r="H57" s="36"/>
      <c r="I57" s="38"/>
      <c r="J57" s="38"/>
      <c r="K57" s="38"/>
      <c r="L57" s="2"/>
      <c r="M57" s="36"/>
      <c r="N57" s="36"/>
      <c r="O57" s="110"/>
      <c r="P57" s="111"/>
      <c r="Q57" s="112"/>
      <c r="R57" s="111"/>
      <c r="S57" s="112"/>
      <c r="T57" s="111">
        <v>9300</v>
      </c>
      <c r="U57" s="112"/>
      <c r="V57" s="111"/>
      <c r="W57" s="110"/>
      <c r="X57" s="111"/>
      <c r="Y57" s="110"/>
      <c r="Z57" s="111"/>
      <c r="AA57" s="110"/>
      <c r="AB57" s="111"/>
      <c r="AC57" s="110"/>
      <c r="AD57" s="111"/>
      <c r="AE57" s="112"/>
      <c r="AF57" s="111"/>
      <c r="AG57" s="112"/>
      <c r="AH57" s="111"/>
      <c r="AI57" s="112"/>
      <c r="AJ57" s="111"/>
      <c r="AK57" s="112"/>
      <c r="AL57" s="114"/>
    </row>
    <row r="58" spans="1:38" s="1" customFormat="1" x14ac:dyDescent="0.25">
      <c r="A58" s="120"/>
      <c r="B58" s="35" t="s">
        <v>322</v>
      </c>
      <c r="C58" s="36"/>
      <c r="D58" s="37"/>
      <c r="E58" s="37"/>
      <c r="F58" s="37"/>
      <c r="G58" s="36"/>
      <c r="H58" s="36"/>
      <c r="I58" s="38"/>
      <c r="J58" s="38"/>
      <c r="K58" s="38"/>
      <c r="L58" s="2"/>
      <c r="M58" s="36"/>
      <c r="N58" s="36"/>
      <c r="O58" s="110"/>
      <c r="P58" s="111"/>
      <c r="Q58" s="112"/>
      <c r="R58" s="111"/>
      <c r="S58" s="112"/>
      <c r="T58" s="111"/>
      <c r="U58" s="112"/>
      <c r="V58" s="111"/>
      <c r="W58" s="110"/>
      <c r="X58" s="111"/>
      <c r="Y58" s="110">
        <v>45078</v>
      </c>
      <c r="Z58" s="111">
        <f>47725*0.3</f>
        <v>14317.5</v>
      </c>
      <c r="AA58" s="110">
        <v>45110</v>
      </c>
      <c r="AB58" s="111">
        <v>33407.5</v>
      </c>
      <c r="AC58" s="110">
        <v>45139</v>
      </c>
      <c r="AD58" s="111">
        <v>47725</v>
      </c>
      <c r="AE58" s="112">
        <v>45170</v>
      </c>
      <c r="AF58" s="111">
        <v>47725</v>
      </c>
      <c r="AG58" s="112">
        <v>45200</v>
      </c>
      <c r="AH58" s="111">
        <v>47725</v>
      </c>
      <c r="AI58" s="112">
        <v>45231</v>
      </c>
      <c r="AJ58" s="111">
        <v>47725</v>
      </c>
      <c r="AK58" s="112">
        <v>45261</v>
      </c>
      <c r="AL58" s="111">
        <v>47725</v>
      </c>
    </row>
    <row r="59" spans="1:38" s="1" customFormat="1" hidden="1" x14ac:dyDescent="0.25">
      <c r="A59" s="120"/>
      <c r="B59" s="35" t="s">
        <v>313</v>
      </c>
      <c r="C59" s="36"/>
      <c r="D59" s="37"/>
      <c r="E59" s="37"/>
      <c r="F59" s="37"/>
      <c r="G59" s="36" t="s">
        <v>181</v>
      </c>
      <c r="H59" s="36" t="s">
        <v>181</v>
      </c>
      <c r="I59" s="38"/>
      <c r="J59" s="38"/>
      <c r="K59" s="38"/>
      <c r="L59" s="2" t="s">
        <v>78</v>
      </c>
      <c r="M59" s="36"/>
      <c r="N59" s="36"/>
      <c r="O59" s="110" t="s">
        <v>181</v>
      </c>
      <c r="P59" s="111">
        <v>3711</v>
      </c>
      <c r="Q59" s="112"/>
      <c r="R59" s="111"/>
      <c r="S59" s="112"/>
      <c r="T59" s="111"/>
      <c r="U59" s="112"/>
      <c r="V59" s="111"/>
      <c r="W59" s="110"/>
      <c r="X59" s="111"/>
      <c r="Y59" s="110"/>
      <c r="Z59" s="111"/>
      <c r="AA59" s="110"/>
      <c r="AB59" s="111"/>
      <c r="AC59" s="110"/>
      <c r="AD59" s="111"/>
      <c r="AE59" s="112"/>
      <c r="AF59" s="111"/>
      <c r="AG59" s="112"/>
      <c r="AH59" s="111"/>
      <c r="AI59" s="112"/>
      <c r="AJ59" s="111"/>
      <c r="AK59" s="112"/>
      <c r="AL59" s="114"/>
    </row>
    <row r="60" spans="1:38" s="139" customFormat="1" ht="15.75" x14ac:dyDescent="0.25">
      <c r="A60" s="142"/>
      <c r="B60" s="129"/>
      <c r="C60" s="130"/>
      <c r="D60" s="131"/>
      <c r="E60" s="131"/>
      <c r="F60" s="132"/>
      <c r="G60" s="133"/>
      <c r="H60" s="133"/>
      <c r="I60" s="134"/>
      <c r="J60" s="134"/>
      <c r="K60" s="134"/>
      <c r="L60" s="122"/>
      <c r="M60" s="130"/>
      <c r="N60" s="130"/>
      <c r="O60" s="135"/>
      <c r="P60" s="136">
        <f>SUBTOTAL(9,P51:P59)</f>
        <v>0</v>
      </c>
      <c r="Q60" s="132"/>
      <c r="R60" s="136">
        <f>SUBTOTAL(9,R51:R59)</f>
        <v>0</v>
      </c>
      <c r="S60" s="136"/>
      <c r="T60" s="136">
        <f>SUBTOTAL(9,T51:T59)</f>
        <v>9300</v>
      </c>
      <c r="U60" s="38" t="s">
        <v>181</v>
      </c>
      <c r="V60" s="136">
        <f>SUBTOTAL(9,V51:V59)</f>
        <v>0</v>
      </c>
      <c r="W60" s="136"/>
      <c r="X60" s="136">
        <f>SUBTOTAL(9,X51:X59)</f>
        <v>0</v>
      </c>
      <c r="Y60" s="136"/>
      <c r="Z60" s="136">
        <f>SUBTOTAL(9,Z51:Z59)</f>
        <v>14317.5</v>
      </c>
      <c r="AA60" s="136"/>
      <c r="AB60" s="136">
        <f>SUBTOTAL(9,AB51:AB59)</f>
        <v>45907.5</v>
      </c>
      <c r="AC60" s="136"/>
      <c r="AD60" s="136">
        <f>SUBTOTAL(9,AD51:AD59)</f>
        <v>47725</v>
      </c>
      <c r="AE60" s="136"/>
      <c r="AF60" s="136">
        <f>SUBTOTAL(9,AF51:AF59)</f>
        <v>47725</v>
      </c>
      <c r="AG60" s="136"/>
      <c r="AH60" s="136">
        <f>SUBTOTAL(9,AH51:AH59)</f>
        <v>47725</v>
      </c>
      <c r="AI60" s="136"/>
      <c r="AJ60" s="136">
        <f>SUBTOTAL(9,AJ51:AJ59)</f>
        <v>47725</v>
      </c>
      <c r="AK60" s="136"/>
      <c r="AL60" s="136">
        <f>SUBTOTAL(9,AL51:AL59)</f>
        <v>47725</v>
      </c>
    </row>
    <row r="61" spans="1:38" s="128" customFormat="1" ht="15.75" x14ac:dyDescent="0.25">
      <c r="A61" s="140"/>
      <c r="B61" s="146" t="s">
        <v>152</v>
      </c>
      <c r="C61" s="130"/>
      <c r="D61" s="131"/>
      <c r="E61" s="131"/>
      <c r="F61" s="131"/>
      <c r="G61" s="130"/>
      <c r="H61" s="130"/>
      <c r="I61" s="147"/>
      <c r="J61" s="147"/>
      <c r="K61" s="147"/>
      <c r="L61" s="130"/>
      <c r="M61" s="130"/>
      <c r="N61" s="130"/>
      <c r="O61" s="131"/>
      <c r="P61" s="147">
        <f>SUBTOTAL(9,P3:P60)</f>
        <v>30304.93</v>
      </c>
      <c r="Q61" s="131"/>
      <c r="R61" s="147">
        <f>SUBTOTAL(9,R3:R60)</f>
        <v>30166.730000000003</v>
      </c>
      <c r="S61" s="131"/>
      <c r="T61" s="147">
        <f>SUBTOTAL(9,T3:T60)</f>
        <v>38887.14</v>
      </c>
      <c r="U61" s="131"/>
      <c r="V61" s="147">
        <f>SUBTOTAL(9,V3:V60)</f>
        <v>30356.450000000004</v>
      </c>
      <c r="W61" s="131"/>
      <c r="X61" s="147">
        <f>SUBTOTAL(9,X3:X60)</f>
        <v>32162.97</v>
      </c>
      <c r="Y61" s="131"/>
      <c r="Z61" s="147">
        <f>SUBTOTAL(109,Tabela145678910[Valor8])</f>
        <v>46058.313999999998</v>
      </c>
      <c r="AA61" s="131"/>
      <c r="AB61" s="147">
        <f>SUBTOTAL(109,Tabela145678910[Valor9])</f>
        <v>79207.88</v>
      </c>
      <c r="AC61" s="123"/>
      <c r="AD61" s="147">
        <f>SUBTOTAL(109,Tabela145678910[Valor10])</f>
        <v>80934.570000000007</v>
      </c>
      <c r="AE61" s="131"/>
      <c r="AF61" s="147">
        <f>SUBTOTAL(109,Tabela145678910[Valor11])</f>
        <v>79964.23</v>
      </c>
      <c r="AG61" s="131"/>
      <c r="AH61" s="147">
        <f>SUBTOTAL(109,Tabela145678910[Valor12])</f>
        <v>84116.63</v>
      </c>
      <c r="AI61" s="131"/>
      <c r="AJ61" s="147">
        <f>SUBTOTAL(109,Tabela145678910[Valor14])</f>
        <v>78520.209999999992</v>
      </c>
      <c r="AK61" s="131"/>
      <c r="AL61" s="148">
        <f>SUBTOTAL(109,Tabela145678910[Valor2])</f>
        <v>81407.37</v>
      </c>
    </row>
    <row r="66" spans="19:32" x14ac:dyDescent="0.25">
      <c r="X66" s="101"/>
    </row>
    <row r="67" spans="19:32" x14ac:dyDescent="0.25">
      <c r="S67" s="100">
        <v>5700</v>
      </c>
    </row>
    <row r="68" spans="19:32" x14ac:dyDescent="0.25">
      <c r="S68" s="100">
        <v>6300</v>
      </c>
    </row>
    <row r="69" spans="19:32" x14ac:dyDescent="0.25">
      <c r="S69" s="100">
        <v>7070</v>
      </c>
      <c r="AF69" s="154"/>
    </row>
  </sheetData>
  <mergeCells count="14">
    <mergeCell ref="U1:V1"/>
    <mergeCell ref="D1:F1"/>
    <mergeCell ref="K1:L1"/>
    <mergeCell ref="O1:P1"/>
    <mergeCell ref="Q1:R1"/>
    <mergeCell ref="S1:T1"/>
    <mergeCell ref="AI1:AJ1"/>
    <mergeCell ref="AK1:AL1"/>
    <mergeCell ref="W1:X1"/>
    <mergeCell ref="Y1:Z1"/>
    <mergeCell ref="AA1:AB1"/>
    <mergeCell ref="AC1:AD1"/>
    <mergeCell ref="AE1:AF1"/>
    <mergeCell ref="AG1:AH1"/>
  </mergeCells>
  <conditionalFormatting sqref="N7:N8 N10:N11 N13:N14">
    <cfRule type="cellIs" dxfId="44" priority="1" operator="equal">
      <formula>"OK"</formula>
    </cfRule>
    <cfRule type="cellIs" dxfId="43" priority="2" operator="equal">
      <formula>"Vencido"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33" orientation="landscape" r:id="rId1"/>
  <legacy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L49"/>
  <sheetViews>
    <sheetView zoomScale="90" zoomScaleNormal="90" workbookViewId="0">
      <pane xSplit="14" ySplit="1" topLeftCell="X2" activePane="bottomRight" state="frozen"/>
      <selection pane="topRight" activeCell="O1" sqref="O1"/>
      <selection pane="bottomLeft" activeCell="A2" sqref="A2"/>
      <selection pane="bottomRight" activeCell="N19" sqref="N19"/>
    </sheetView>
  </sheetViews>
  <sheetFormatPr defaultColWidth="9.140625" defaultRowHeight="15" outlineLevelCol="1" x14ac:dyDescent="0.25"/>
  <cols>
    <col min="1" max="1" width="5.140625" style="100" bestFit="1" customWidth="1"/>
    <col min="2" max="2" width="29.140625" style="100" customWidth="1"/>
    <col min="3" max="3" width="51.28515625" style="100" hidden="1" customWidth="1" outlineLevel="1"/>
    <col min="4" max="4" width="22.28515625" style="100" hidden="1" customWidth="1" outlineLevel="1"/>
    <col min="5" max="5" width="19.28515625" style="100" hidden="1" customWidth="1" outlineLevel="1"/>
    <col min="6" max="6" width="15.140625" style="100" hidden="1" customWidth="1" outlineLevel="1"/>
    <col min="7" max="7" width="23" style="100" bestFit="1" customWidth="1" collapsed="1"/>
    <col min="8" max="8" width="18.140625" style="100" bestFit="1" customWidth="1"/>
    <col min="9" max="9" width="16.140625" style="100" hidden="1" customWidth="1" outlineLevel="1"/>
    <col min="10" max="10" width="47.5703125" style="100" hidden="1" customWidth="1" outlineLevel="1"/>
    <col min="11" max="11" width="26.140625" style="100" hidden="1" customWidth="1" outlineLevel="1"/>
    <col min="12" max="12" width="17" style="100" hidden="1" customWidth="1" outlineLevel="1"/>
    <col min="13" max="13" width="63" style="100" hidden="1" customWidth="1" outlineLevel="1"/>
    <col min="14" max="14" width="16.140625" style="100" bestFit="1" customWidth="1" collapsed="1"/>
    <col min="15" max="15" width="11.5703125" style="100" customWidth="1"/>
    <col min="16" max="16" width="15.28515625" style="100" bestFit="1" customWidth="1"/>
    <col min="17" max="17" width="11.5703125" style="100" customWidth="1"/>
    <col min="18" max="18" width="15.28515625" style="100" bestFit="1" customWidth="1"/>
    <col min="19" max="19" width="14.42578125" style="100" bestFit="1" customWidth="1"/>
    <col min="20" max="20" width="15.28515625" style="100" bestFit="1" customWidth="1"/>
    <col min="21" max="21" width="15" style="100" customWidth="1"/>
    <col min="22" max="22" width="16.140625" style="100" bestFit="1" customWidth="1"/>
    <col min="23" max="23" width="14.42578125" style="100" bestFit="1" customWidth="1"/>
    <col min="24" max="24" width="16.140625" style="100" bestFit="1" customWidth="1"/>
    <col min="25" max="25" width="11.5703125" style="100" bestFit="1" customWidth="1"/>
    <col min="26" max="26" width="15.28515625" style="100" bestFit="1" customWidth="1"/>
    <col min="27" max="27" width="11.5703125" style="100" customWidth="1"/>
    <col min="28" max="28" width="15.28515625" style="100" bestFit="1" customWidth="1"/>
    <col min="29" max="29" width="11.5703125" style="100" customWidth="1"/>
    <col min="30" max="30" width="15.28515625" style="100" bestFit="1" customWidth="1"/>
    <col min="31" max="31" width="12.5703125" style="100" bestFit="1" customWidth="1"/>
    <col min="32" max="32" width="15.28515625" style="100" bestFit="1" customWidth="1"/>
    <col min="33" max="33" width="12.5703125" style="100" customWidth="1"/>
    <col min="34" max="34" width="15.28515625" style="100" bestFit="1" customWidth="1"/>
    <col min="35" max="35" width="12.5703125" style="100" customWidth="1"/>
    <col min="36" max="36" width="15" style="100" bestFit="1" customWidth="1"/>
    <col min="37" max="37" width="12.5703125" style="100" bestFit="1" customWidth="1"/>
    <col min="38" max="38" width="14.7109375" style="100" customWidth="1"/>
    <col min="39" max="16384" width="9.140625" style="100"/>
  </cols>
  <sheetData>
    <row r="1" spans="1:38" s="1" customFormat="1" ht="15" customHeight="1" x14ac:dyDescent="0.25">
      <c r="A1" s="143" t="s">
        <v>60</v>
      </c>
      <c r="B1" s="143"/>
      <c r="C1" s="144"/>
      <c r="D1" s="170"/>
      <c r="E1" s="170"/>
      <c r="F1" s="171"/>
      <c r="G1" s="69"/>
      <c r="H1" s="70"/>
      <c r="I1" s="69"/>
      <c r="J1" s="70"/>
      <c r="K1" s="170"/>
      <c r="L1" s="171"/>
      <c r="M1" s="62"/>
      <c r="N1" s="62"/>
      <c r="O1" s="170">
        <v>45292</v>
      </c>
      <c r="P1" s="171"/>
      <c r="Q1" s="172">
        <v>45323</v>
      </c>
      <c r="R1" s="173"/>
      <c r="S1" s="170">
        <v>45352</v>
      </c>
      <c r="T1" s="171"/>
      <c r="U1" s="172">
        <v>45383</v>
      </c>
      <c r="V1" s="173"/>
      <c r="W1" s="170">
        <v>45413</v>
      </c>
      <c r="X1" s="171"/>
      <c r="Y1" s="172">
        <v>45444</v>
      </c>
      <c r="Z1" s="173"/>
      <c r="AA1" s="170">
        <v>45474</v>
      </c>
      <c r="AB1" s="171"/>
      <c r="AC1" s="172">
        <v>45505</v>
      </c>
      <c r="AD1" s="173"/>
      <c r="AE1" s="170">
        <v>45536</v>
      </c>
      <c r="AF1" s="171"/>
      <c r="AG1" s="172">
        <v>45566</v>
      </c>
      <c r="AH1" s="173"/>
      <c r="AI1" s="170">
        <v>45597</v>
      </c>
      <c r="AJ1" s="171"/>
      <c r="AK1" s="172">
        <v>45627</v>
      </c>
      <c r="AL1" s="173"/>
    </row>
    <row r="2" spans="1:38" s="13" customFormat="1" ht="30" x14ac:dyDescent="0.25">
      <c r="A2" s="118" t="s">
        <v>276</v>
      </c>
      <c r="B2" s="11" t="s">
        <v>0</v>
      </c>
      <c r="C2" s="43" t="s">
        <v>5</v>
      </c>
      <c r="D2" s="45" t="s">
        <v>3</v>
      </c>
      <c r="E2" s="66" t="s">
        <v>209</v>
      </c>
      <c r="F2" s="45" t="s">
        <v>1</v>
      </c>
      <c r="G2" s="43" t="s">
        <v>8</v>
      </c>
      <c r="H2" s="43" t="s">
        <v>2</v>
      </c>
      <c r="I2" s="44" t="s">
        <v>79</v>
      </c>
      <c r="J2" s="44" t="s">
        <v>107</v>
      </c>
      <c r="K2" s="59" t="s">
        <v>186</v>
      </c>
      <c r="L2" s="43" t="s">
        <v>19</v>
      </c>
      <c r="M2" s="43" t="s">
        <v>105</v>
      </c>
      <c r="N2" s="11" t="s">
        <v>317</v>
      </c>
      <c r="O2" s="45" t="s">
        <v>115</v>
      </c>
      <c r="P2" s="46" t="s">
        <v>116</v>
      </c>
      <c r="Q2" s="45" t="s">
        <v>117</v>
      </c>
      <c r="R2" s="46" t="s">
        <v>118</v>
      </c>
      <c r="S2" s="45" t="s">
        <v>119</v>
      </c>
      <c r="T2" s="46" t="s">
        <v>120</v>
      </c>
      <c r="U2" s="45" t="s">
        <v>121</v>
      </c>
      <c r="V2" s="46" t="s">
        <v>122</v>
      </c>
      <c r="W2" s="45" t="s">
        <v>123</v>
      </c>
      <c r="X2" s="46" t="s">
        <v>124</v>
      </c>
      <c r="Y2" s="45" t="s">
        <v>125</v>
      </c>
      <c r="Z2" s="46" t="s">
        <v>126</v>
      </c>
      <c r="AA2" s="45" t="s">
        <v>127</v>
      </c>
      <c r="AB2" s="46" t="s">
        <v>128</v>
      </c>
      <c r="AC2" s="45" t="s">
        <v>129</v>
      </c>
      <c r="AD2" s="46" t="s">
        <v>130</v>
      </c>
      <c r="AE2" s="45" t="s">
        <v>131</v>
      </c>
      <c r="AF2" s="46" t="s">
        <v>132</v>
      </c>
      <c r="AG2" s="45" t="s">
        <v>133</v>
      </c>
      <c r="AH2" s="46" t="s">
        <v>134</v>
      </c>
      <c r="AI2" s="45" t="s">
        <v>135</v>
      </c>
      <c r="AJ2" s="46" t="s">
        <v>137</v>
      </c>
      <c r="AK2" s="45" t="s">
        <v>136</v>
      </c>
      <c r="AL2" s="46" t="s">
        <v>138</v>
      </c>
    </row>
    <row r="3" spans="1:38" s="1" customFormat="1" x14ac:dyDescent="0.25">
      <c r="A3" s="119">
        <v>1</v>
      </c>
      <c r="B3" s="25" t="s">
        <v>9</v>
      </c>
      <c r="C3" s="25" t="s">
        <v>262</v>
      </c>
      <c r="D3" s="26">
        <v>41644</v>
      </c>
      <c r="E3" s="26">
        <v>42008</v>
      </c>
      <c r="F3" s="26" t="s">
        <v>6</v>
      </c>
      <c r="G3" s="25" t="s">
        <v>89</v>
      </c>
      <c r="H3" s="25" t="s">
        <v>7</v>
      </c>
      <c r="I3" s="27" t="s">
        <v>139</v>
      </c>
      <c r="J3" s="27" t="s">
        <v>145</v>
      </c>
      <c r="K3" s="27" t="s">
        <v>185</v>
      </c>
      <c r="L3" s="25" t="s">
        <v>78</v>
      </c>
      <c r="M3" s="25" t="s">
        <v>184</v>
      </c>
      <c r="N3" s="25" t="s">
        <v>318</v>
      </c>
      <c r="O3" s="105">
        <v>45293</v>
      </c>
      <c r="P3" s="106">
        <v>6129.96</v>
      </c>
      <c r="Q3" s="105">
        <v>45327</v>
      </c>
      <c r="R3" s="106">
        <v>6395.46</v>
      </c>
      <c r="S3" s="105">
        <v>45352</v>
      </c>
      <c r="T3" s="106">
        <v>8832.2900000000009</v>
      </c>
      <c r="U3" s="105">
        <v>45391</v>
      </c>
      <c r="V3" s="106">
        <v>8741.93</v>
      </c>
      <c r="W3" s="105">
        <v>45415</v>
      </c>
      <c r="X3" s="106">
        <v>8402.77</v>
      </c>
      <c r="Y3" s="105">
        <v>45446</v>
      </c>
      <c r="Z3" s="106">
        <v>8201.92</v>
      </c>
      <c r="AA3" s="105">
        <v>45476</v>
      </c>
      <c r="AB3" s="106">
        <v>5654.03</v>
      </c>
      <c r="AC3" s="105">
        <v>45509</v>
      </c>
      <c r="AD3" s="106">
        <v>12315.74</v>
      </c>
      <c r="AE3" s="105">
        <v>45540</v>
      </c>
      <c r="AF3" s="106">
        <v>9053.7800000000007</v>
      </c>
      <c r="AG3" s="105">
        <v>45567</v>
      </c>
      <c r="AH3" s="106">
        <v>8966.4</v>
      </c>
      <c r="AI3" s="105">
        <v>45600</v>
      </c>
      <c r="AJ3" s="106">
        <v>8335.33</v>
      </c>
      <c r="AK3" s="105">
        <v>45628</v>
      </c>
      <c r="AL3" s="106">
        <v>6850.21</v>
      </c>
    </row>
    <row r="4" spans="1:38" s="1" customFormat="1" x14ac:dyDescent="0.25">
      <c r="A4" s="25">
        <v>2</v>
      </c>
      <c r="B4" s="25" t="s">
        <v>24</v>
      </c>
      <c r="C4" s="25" t="s">
        <v>263</v>
      </c>
      <c r="D4" s="26">
        <v>43102</v>
      </c>
      <c r="E4" s="26" t="s">
        <v>181</v>
      </c>
      <c r="F4" s="3" t="s">
        <v>13</v>
      </c>
      <c r="G4" s="25" t="s">
        <v>89</v>
      </c>
      <c r="H4" s="25" t="s">
        <v>7</v>
      </c>
      <c r="I4" s="27">
        <v>580</v>
      </c>
      <c r="J4" s="27" t="s">
        <v>141</v>
      </c>
      <c r="K4" s="27" t="s">
        <v>188</v>
      </c>
      <c r="L4" s="25" t="s">
        <v>78</v>
      </c>
      <c r="M4" s="25"/>
      <c r="N4" s="25" t="s">
        <v>319</v>
      </c>
      <c r="O4" s="105">
        <v>45296</v>
      </c>
      <c r="P4" s="106">
        <v>713.4</v>
      </c>
      <c r="Q4" s="105">
        <v>45331</v>
      </c>
      <c r="R4" s="106">
        <v>713.4</v>
      </c>
      <c r="S4" s="105">
        <v>45360</v>
      </c>
      <c r="T4" s="106">
        <v>713.4</v>
      </c>
      <c r="U4" s="105">
        <v>45391</v>
      </c>
      <c r="V4" s="106">
        <v>713.4</v>
      </c>
      <c r="W4" s="105">
        <v>45419</v>
      </c>
      <c r="X4" s="106">
        <v>713.4</v>
      </c>
      <c r="Y4" s="105">
        <v>45450</v>
      </c>
      <c r="Z4" s="106">
        <v>713.4</v>
      </c>
      <c r="AA4" s="105">
        <v>45481</v>
      </c>
      <c r="AB4" s="106">
        <v>713.4</v>
      </c>
      <c r="AC4" s="105">
        <v>45511</v>
      </c>
      <c r="AD4" s="106">
        <v>713.4</v>
      </c>
      <c r="AE4" s="105">
        <v>45548</v>
      </c>
      <c r="AF4" s="106">
        <v>713.4</v>
      </c>
      <c r="AG4" s="105">
        <v>45573</v>
      </c>
      <c r="AH4" s="106">
        <v>713.4</v>
      </c>
      <c r="AI4" s="105">
        <v>45604</v>
      </c>
      <c r="AJ4" s="106">
        <v>713.4</v>
      </c>
      <c r="AK4" s="105">
        <v>45630</v>
      </c>
      <c r="AL4" s="106">
        <v>713.4</v>
      </c>
    </row>
    <row r="5" spans="1:38" s="1" customFormat="1" x14ac:dyDescent="0.25">
      <c r="A5" s="119">
        <v>3</v>
      </c>
      <c r="B5" s="25" t="s">
        <v>31</v>
      </c>
      <c r="C5" s="25" t="s">
        <v>32</v>
      </c>
      <c r="D5" s="26">
        <v>40568</v>
      </c>
      <c r="E5" s="26">
        <v>43102</v>
      </c>
      <c r="F5" s="26" t="s">
        <v>33</v>
      </c>
      <c r="G5" s="25" t="s">
        <v>89</v>
      </c>
      <c r="H5" s="25" t="s">
        <v>7</v>
      </c>
      <c r="I5" s="27">
        <v>1452.21</v>
      </c>
      <c r="J5" s="27" t="s">
        <v>110</v>
      </c>
      <c r="K5" s="27" t="s">
        <v>189</v>
      </c>
      <c r="L5" s="25" t="s">
        <v>78</v>
      </c>
      <c r="M5" s="25"/>
      <c r="N5" s="25" t="s">
        <v>319</v>
      </c>
      <c r="O5" s="105">
        <v>45295</v>
      </c>
      <c r="P5" s="106">
        <f>1300.61+433.54</f>
        <v>1734.1499999999999</v>
      </c>
      <c r="Q5" s="105">
        <v>45328</v>
      </c>
      <c r="R5" s="106">
        <f>1300.61+433.54</f>
        <v>1734.1499999999999</v>
      </c>
      <c r="S5" s="105">
        <v>45356</v>
      </c>
      <c r="T5" s="106">
        <f>1300.61+433.54</f>
        <v>1734.1499999999999</v>
      </c>
      <c r="U5" s="105">
        <v>45386</v>
      </c>
      <c r="V5" s="106">
        <f>1300.61+433.54</f>
        <v>1734.1499999999999</v>
      </c>
      <c r="W5" s="105">
        <v>45418</v>
      </c>
      <c r="X5" s="106">
        <f>1300.61+433.54</f>
        <v>1734.1499999999999</v>
      </c>
      <c r="Y5" s="105">
        <v>45448</v>
      </c>
      <c r="Z5" s="106">
        <f>1300.61+433.54</f>
        <v>1734.1499999999999</v>
      </c>
      <c r="AA5" s="105">
        <v>45475</v>
      </c>
      <c r="AB5" s="106">
        <f>1300.61+433.54</f>
        <v>1734.1499999999999</v>
      </c>
      <c r="AC5" s="105">
        <v>45509</v>
      </c>
      <c r="AD5" s="106">
        <f>1300.61+433.54</f>
        <v>1734.1499999999999</v>
      </c>
      <c r="AE5" s="105">
        <v>45539</v>
      </c>
      <c r="AF5" s="106">
        <f>1300.61+433.54</f>
        <v>1734.1499999999999</v>
      </c>
      <c r="AG5" s="105">
        <v>45572</v>
      </c>
      <c r="AH5" s="106">
        <f>1300.61+433.54</f>
        <v>1734.1499999999999</v>
      </c>
      <c r="AI5" s="105">
        <v>45600</v>
      </c>
      <c r="AJ5" s="106">
        <v>1810.88</v>
      </c>
      <c r="AK5" s="105">
        <v>45629</v>
      </c>
      <c r="AL5" s="106">
        <v>1810.88</v>
      </c>
    </row>
    <row r="6" spans="1:38" s="1" customFormat="1" ht="15.75" thickBot="1" x14ac:dyDescent="0.3">
      <c r="A6" s="25">
        <v>4</v>
      </c>
      <c r="B6" s="25" t="s">
        <v>42</v>
      </c>
      <c r="C6" s="25" t="s">
        <v>214</v>
      </c>
      <c r="D6" s="26">
        <v>43040</v>
      </c>
      <c r="E6" s="26">
        <v>43119</v>
      </c>
      <c r="F6" s="26" t="s">
        <v>28</v>
      </c>
      <c r="G6" s="25" t="s">
        <v>89</v>
      </c>
      <c r="H6" s="25" t="s">
        <v>7</v>
      </c>
      <c r="I6" s="27">
        <v>930.4</v>
      </c>
      <c r="J6" s="27" t="s">
        <v>141</v>
      </c>
      <c r="K6" s="27" t="s">
        <v>190</v>
      </c>
      <c r="L6" s="25" t="s">
        <v>78</v>
      </c>
      <c r="M6" s="25"/>
      <c r="N6" s="25" t="s">
        <v>319</v>
      </c>
      <c r="O6" s="105">
        <v>45299</v>
      </c>
      <c r="P6" s="106">
        <v>997.15</v>
      </c>
      <c r="Q6" s="105">
        <v>45331</v>
      </c>
      <c r="R6" s="106">
        <v>997.15</v>
      </c>
      <c r="S6" s="105">
        <v>45366</v>
      </c>
      <c r="T6" s="106">
        <v>997.15</v>
      </c>
      <c r="U6" s="105">
        <v>45394</v>
      </c>
      <c r="V6" s="106">
        <v>997.15</v>
      </c>
      <c r="W6" s="105">
        <v>45425</v>
      </c>
      <c r="X6" s="106">
        <v>997.15</v>
      </c>
      <c r="Y6" s="105">
        <v>45463</v>
      </c>
      <c r="Z6" s="106">
        <v>997.15</v>
      </c>
      <c r="AA6" s="105">
        <v>45496</v>
      </c>
      <c r="AB6" s="106">
        <v>997.15</v>
      </c>
      <c r="AC6" s="105">
        <v>45511</v>
      </c>
      <c r="AD6" s="106">
        <v>997.15</v>
      </c>
      <c r="AE6" s="105">
        <v>45554</v>
      </c>
      <c r="AF6" s="106">
        <v>997.15</v>
      </c>
      <c r="AG6" s="105">
        <v>45582</v>
      </c>
      <c r="AH6" s="106">
        <v>997.15</v>
      </c>
      <c r="AI6" s="105">
        <v>45621</v>
      </c>
      <c r="AJ6" s="106">
        <v>997.15</v>
      </c>
      <c r="AK6" s="152" t="s">
        <v>340</v>
      </c>
      <c r="AL6" s="153" t="s">
        <v>340</v>
      </c>
    </row>
    <row r="7" spans="1:38" s="1" customFormat="1" x14ac:dyDescent="0.25">
      <c r="A7" s="119"/>
      <c r="B7" s="25" t="s">
        <v>212</v>
      </c>
      <c r="C7" s="25"/>
      <c r="D7" s="26"/>
      <c r="E7" s="26" t="s">
        <v>181</v>
      </c>
      <c r="F7" s="71" t="s">
        <v>13</v>
      </c>
      <c r="G7" s="79" t="s">
        <v>218</v>
      </c>
      <c r="H7" s="80">
        <v>45962</v>
      </c>
      <c r="I7" s="72"/>
      <c r="J7" s="27"/>
      <c r="K7" s="27"/>
      <c r="L7" s="25" t="s">
        <v>78</v>
      </c>
      <c r="M7" s="25"/>
      <c r="N7" s="25" t="str">
        <f ca="1">IF($H7&lt;TODAY(),"Vencido","OK")</f>
        <v>Vencido</v>
      </c>
      <c r="O7" s="105" t="s">
        <v>181</v>
      </c>
      <c r="P7" s="106" t="s">
        <v>181</v>
      </c>
      <c r="Q7" s="105" t="s">
        <v>181</v>
      </c>
      <c r="R7" s="106" t="s">
        <v>181</v>
      </c>
      <c r="S7" s="105" t="s">
        <v>181</v>
      </c>
      <c r="T7" s="106" t="s">
        <v>181</v>
      </c>
      <c r="U7" s="105" t="s">
        <v>181</v>
      </c>
      <c r="V7" s="106" t="s">
        <v>181</v>
      </c>
      <c r="W7" s="105" t="s">
        <v>181</v>
      </c>
      <c r="X7" s="106" t="s">
        <v>181</v>
      </c>
      <c r="Y7" s="105" t="s">
        <v>181</v>
      </c>
      <c r="Z7" s="106" t="s">
        <v>181</v>
      </c>
      <c r="AA7" s="105" t="s">
        <v>181</v>
      </c>
      <c r="AB7" s="106" t="s">
        <v>181</v>
      </c>
      <c r="AC7" s="105" t="s">
        <v>181</v>
      </c>
      <c r="AD7" s="106" t="s">
        <v>181</v>
      </c>
      <c r="AE7" s="105" t="s">
        <v>181</v>
      </c>
      <c r="AF7" s="106" t="s">
        <v>181</v>
      </c>
      <c r="AG7" s="105" t="s">
        <v>181</v>
      </c>
      <c r="AH7" s="106" t="s">
        <v>181</v>
      </c>
      <c r="AI7" s="105" t="s">
        <v>181</v>
      </c>
      <c r="AJ7" s="106" t="s">
        <v>181</v>
      </c>
      <c r="AK7" s="105" t="s">
        <v>181</v>
      </c>
      <c r="AL7" s="106" t="s">
        <v>181</v>
      </c>
    </row>
    <row r="8" spans="1:38" s="1" customFormat="1" ht="15.75" thickBot="1" x14ac:dyDescent="0.3">
      <c r="A8" s="25"/>
      <c r="B8" s="25" t="s">
        <v>213</v>
      </c>
      <c r="C8" s="25"/>
      <c r="D8" s="26">
        <v>43405</v>
      </c>
      <c r="E8" s="26" t="s">
        <v>181</v>
      </c>
      <c r="F8" s="71" t="s">
        <v>28</v>
      </c>
      <c r="G8" s="76" t="s">
        <v>218</v>
      </c>
      <c r="H8" s="77">
        <v>45962</v>
      </c>
      <c r="I8" s="72"/>
      <c r="J8" s="27"/>
      <c r="K8" s="27"/>
      <c r="L8" s="25" t="s">
        <v>78</v>
      </c>
      <c r="M8" s="25"/>
      <c r="N8" s="25" t="str">
        <f ca="1">IF($H8&lt;TODAY(),"Vencido","OK")</f>
        <v>Vencido</v>
      </c>
      <c r="O8" s="105" t="s">
        <v>181</v>
      </c>
      <c r="P8" s="106" t="s">
        <v>181</v>
      </c>
      <c r="Q8" s="105" t="s">
        <v>181</v>
      </c>
      <c r="R8" s="106" t="s">
        <v>181</v>
      </c>
      <c r="S8" s="105" t="s">
        <v>181</v>
      </c>
      <c r="T8" s="106" t="s">
        <v>181</v>
      </c>
      <c r="U8" s="105" t="s">
        <v>181</v>
      </c>
      <c r="V8" s="106" t="s">
        <v>181</v>
      </c>
      <c r="W8" s="105" t="s">
        <v>181</v>
      </c>
      <c r="X8" s="106" t="s">
        <v>181</v>
      </c>
      <c r="Y8" s="105" t="s">
        <v>181</v>
      </c>
      <c r="Z8" s="106" t="s">
        <v>181</v>
      </c>
      <c r="AA8" s="105" t="s">
        <v>181</v>
      </c>
      <c r="AB8" s="106" t="s">
        <v>181</v>
      </c>
      <c r="AC8" s="105" t="s">
        <v>181</v>
      </c>
      <c r="AD8" s="106" t="s">
        <v>181</v>
      </c>
      <c r="AE8" s="105" t="s">
        <v>181</v>
      </c>
      <c r="AF8" s="106" t="s">
        <v>181</v>
      </c>
      <c r="AG8" s="105" t="s">
        <v>181</v>
      </c>
      <c r="AH8" s="106" t="s">
        <v>181</v>
      </c>
      <c r="AI8" s="105" t="s">
        <v>181</v>
      </c>
      <c r="AJ8" s="106" t="s">
        <v>181</v>
      </c>
      <c r="AK8" s="105" t="s">
        <v>181</v>
      </c>
      <c r="AL8" s="106" t="s">
        <v>181</v>
      </c>
    </row>
    <row r="9" spans="1:38" s="1" customFormat="1" ht="15.75" thickBot="1" x14ac:dyDescent="0.3">
      <c r="A9" s="119">
        <v>5</v>
      </c>
      <c r="B9" s="25" t="s">
        <v>323</v>
      </c>
      <c r="C9" s="25" t="s">
        <v>232</v>
      </c>
      <c r="D9" s="26">
        <v>43616</v>
      </c>
      <c r="E9" s="26"/>
      <c r="F9" s="71" t="s">
        <v>13</v>
      </c>
      <c r="G9" s="91" t="s">
        <v>89</v>
      </c>
      <c r="H9" s="92" t="s">
        <v>7</v>
      </c>
      <c r="I9" s="72">
        <v>202</v>
      </c>
      <c r="J9" s="27" t="s">
        <v>145</v>
      </c>
      <c r="K9" s="27" t="s">
        <v>324</v>
      </c>
      <c r="L9" s="25" t="s">
        <v>78</v>
      </c>
      <c r="M9" s="25"/>
      <c r="N9" s="25" t="s">
        <v>319</v>
      </c>
      <c r="O9" s="105">
        <v>45294</v>
      </c>
      <c r="P9" s="106">
        <v>663</v>
      </c>
      <c r="Q9" s="105">
        <v>45323</v>
      </c>
      <c r="R9" s="106">
        <v>663</v>
      </c>
      <c r="S9" s="105">
        <v>45352</v>
      </c>
      <c r="T9" s="106">
        <v>663</v>
      </c>
      <c r="U9" s="105">
        <v>45385</v>
      </c>
      <c r="V9" s="106">
        <v>663</v>
      </c>
      <c r="W9" s="105">
        <v>45418</v>
      </c>
      <c r="X9" s="106">
        <v>663</v>
      </c>
      <c r="Y9" s="105">
        <v>45448</v>
      </c>
      <c r="Z9" s="106">
        <v>663</v>
      </c>
      <c r="AA9" s="105">
        <v>45476</v>
      </c>
      <c r="AB9" s="106">
        <v>663</v>
      </c>
      <c r="AC9" s="105">
        <v>45505</v>
      </c>
      <c r="AD9" s="106">
        <v>663</v>
      </c>
      <c r="AE9" s="105">
        <v>45538</v>
      </c>
      <c r="AF9" s="106">
        <v>663</v>
      </c>
      <c r="AG9" s="105">
        <v>45566</v>
      </c>
      <c r="AH9" s="106">
        <v>691.24</v>
      </c>
      <c r="AI9" s="105">
        <v>45597</v>
      </c>
      <c r="AJ9" s="106">
        <v>790.88</v>
      </c>
      <c r="AK9" s="105">
        <v>45629</v>
      </c>
      <c r="AL9" s="106">
        <v>691.24</v>
      </c>
    </row>
    <row r="10" spans="1:38" s="1" customFormat="1" x14ac:dyDescent="0.25">
      <c r="A10" s="25"/>
      <c r="B10" s="25" t="s">
        <v>212</v>
      </c>
      <c r="C10" s="25"/>
      <c r="D10" s="26"/>
      <c r="E10" s="26" t="s">
        <v>181</v>
      </c>
      <c r="F10" s="71" t="s">
        <v>13</v>
      </c>
      <c r="G10" s="79" t="s">
        <v>218</v>
      </c>
      <c r="H10" s="80">
        <v>45912</v>
      </c>
      <c r="I10" s="72"/>
      <c r="J10" s="27"/>
      <c r="K10" s="27"/>
      <c r="L10" s="25" t="s">
        <v>78</v>
      </c>
      <c r="M10" s="25"/>
      <c r="N10" s="25" t="str">
        <f ca="1">IF($H10&lt;TODAY(),"Vencido","OK")</f>
        <v>Vencido</v>
      </c>
      <c r="O10" s="105" t="s">
        <v>181</v>
      </c>
      <c r="P10" s="106" t="s">
        <v>181</v>
      </c>
      <c r="Q10" s="105" t="s">
        <v>181</v>
      </c>
      <c r="R10" s="106" t="s">
        <v>181</v>
      </c>
      <c r="S10" s="105" t="s">
        <v>181</v>
      </c>
      <c r="T10" s="106" t="s">
        <v>181</v>
      </c>
      <c r="U10" s="105" t="s">
        <v>181</v>
      </c>
      <c r="V10" s="106" t="s">
        <v>181</v>
      </c>
      <c r="W10" s="105" t="s">
        <v>181</v>
      </c>
      <c r="X10" s="106" t="s">
        <v>181</v>
      </c>
      <c r="Y10" s="105" t="s">
        <v>181</v>
      </c>
      <c r="Z10" s="106" t="s">
        <v>181</v>
      </c>
      <c r="AA10" s="105" t="s">
        <v>181</v>
      </c>
      <c r="AB10" s="106" t="s">
        <v>181</v>
      </c>
      <c r="AC10" s="105" t="s">
        <v>181</v>
      </c>
      <c r="AD10" s="106" t="s">
        <v>181</v>
      </c>
      <c r="AE10" s="105" t="s">
        <v>181</v>
      </c>
      <c r="AF10" s="106" t="s">
        <v>181</v>
      </c>
      <c r="AG10" s="105" t="s">
        <v>181</v>
      </c>
      <c r="AH10" s="106" t="s">
        <v>181</v>
      </c>
      <c r="AI10" s="105" t="s">
        <v>181</v>
      </c>
      <c r="AJ10" s="106" t="s">
        <v>181</v>
      </c>
      <c r="AK10" s="105" t="s">
        <v>181</v>
      </c>
      <c r="AL10" s="106" t="s">
        <v>181</v>
      </c>
    </row>
    <row r="11" spans="1:38" s="1" customFormat="1" ht="15.75" thickBot="1" x14ac:dyDescent="0.3">
      <c r="A11" s="119"/>
      <c r="B11" s="25" t="s">
        <v>213</v>
      </c>
      <c r="C11" s="25"/>
      <c r="D11" s="26">
        <v>43405</v>
      </c>
      <c r="E11" s="26" t="s">
        <v>181</v>
      </c>
      <c r="F11" s="71" t="s">
        <v>28</v>
      </c>
      <c r="G11" s="76" t="s">
        <v>218</v>
      </c>
      <c r="H11" s="77">
        <v>45912</v>
      </c>
      <c r="I11" s="72"/>
      <c r="J11" s="27"/>
      <c r="K11" s="27"/>
      <c r="L11" s="25" t="s">
        <v>78</v>
      </c>
      <c r="M11" s="25"/>
      <c r="N11" s="25" t="str">
        <f ca="1">IF($H11&lt;TODAY(),"Vencido","OK")</f>
        <v>Vencido</v>
      </c>
      <c r="O11" s="105" t="s">
        <v>181</v>
      </c>
      <c r="P11" s="106" t="s">
        <v>181</v>
      </c>
      <c r="Q11" s="105" t="s">
        <v>181</v>
      </c>
      <c r="R11" s="106" t="s">
        <v>181</v>
      </c>
      <c r="S11" s="105" t="s">
        <v>181</v>
      </c>
      <c r="T11" s="106" t="s">
        <v>181</v>
      </c>
      <c r="U11" s="105" t="s">
        <v>181</v>
      </c>
      <c r="V11" s="106" t="s">
        <v>181</v>
      </c>
      <c r="W11" s="105" t="s">
        <v>181</v>
      </c>
      <c r="X11" s="106" t="s">
        <v>181</v>
      </c>
      <c r="Y11" s="105" t="s">
        <v>181</v>
      </c>
      <c r="Z11" s="106" t="s">
        <v>181</v>
      </c>
      <c r="AA11" s="105" t="s">
        <v>181</v>
      </c>
      <c r="AB11" s="106" t="s">
        <v>181</v>
      </c>
      <c r="AC11" s="105" t="s">
        <v>181</v>
      </c>
      <c r="AD11" s="106" t="s">
        <v>181</v>
      </c>
      <c r="AE11" s="105" t="s">
        <v>181</v>
      </c>
      <c r="AF11" s="106" t="s">
        <v>181</v>
      </c>
      <c r="AG11" s="105" t="s">
        <v>181</v>
      </c>
      <c r="AH11" s="106" t="s">
        <v>181</v>
      </c>
      <c r="AI11" s="105" t="s">
        <v>181</v>
      </c>
      <c r="AJ11" s="106" t="s">
        <v>181</v>
      </c>
      <c r="AK11" s="105" t="s">
        <v>181</v>
      </c>
      <c r="AL11" s="106" t="s">
        <v>181</v>
      </c>
    </row>
    <row r="12" spans="1:38" s="1" customFormat="1" ht="15.75" thickBot="1" x14ac:dyDescent="0.3">
      <c r="A12" s="25">
        <v>6</v>
      </c>
      <c r="B12" s="25" t="s">
        <v>44</v>
      </c>
      <c r="C12" s="25" t="s">
        <v>86</v>
      </c>
      <c r="D12" s="26">
        <v>38979</v>
      </c>
      <c r="E12" s="26" t="s">
        <v>181</v>
      </c>
      <c r="F12" s="26" t="s">
        <v>6</v>
      </c>
      <c r="G12" s="73" t="s">
        <v>89</v>
      </c>
      <c r="H12" s="73" t="s">
        <v>211</v>
      </c>
      <c r="I12" s="27">
        <v>1230.56</v>
      </c>
      <c r="J12" s="27" t="s">
        <v>110</v>
      </c>
      <c r="K12" s="27" t="s">
        <v>330</v>
      </c>
      <c r="L12" s="25" t="s">
        <v>78</v>
      </c>
      <c r="M12" s="25"/>
      <c r="N12" s="25" t="s">
        <v>319</v>
      </c>
      <c r="O12" s="105">
        <v>45294</v>
      </c>
      <c r="P12" s="106">
        <v>1975.56</v>
      </c>
      <c r="Q12" s="105">
        <v>45327</v>
      </c>
      <c r="R12" s="106">
        <v>1975.56</v>
      </c>
      <c r="S12" s="105">
        <v>45356</v>
      </c>
      <c r="T12" s="106">
        <v>1975.56</v>
      </c>
      <c r="U12" s="105">
        <v>45385</v>
      </c>
      <c r="V12" s="106">
        <v>1975.56</v>
      </c>
      <c r="W12" s="105">
        <v>45415</v>
      </c>
      <c r="X12" s="106">
        <v>1975.56</v>
      </c>
      <c r="Y12" s="105">
        <v>45446</v>
      </c>
      <c r="Z12" s="106">
        <v>1975.56</v>
      </c>
      <c r="AA12" s="105">
        <v>45475</v>
      </c>
      <c r="AB12" s="106">
        <v>1975.56</v>
      </c>
      <c r="AC12" s="105">
        <v>45509</v>
      </c>
      <c r="AD12" s="106">
        <v>1975.56</v>
      </c>
      <c r="AE12" s="105">
        <v>45547</v>
      </c>
      <c r="AF12" s="106">
        <v>2059.17</v>
      </c>
      <c r="AG12" s="105">
        <v>45568</v>
      </c>
      <c r="AH12" s="106">
        <v>2059.17</v>
      </c>
      <c r="AI12" s="105">
        <v>45601</v>
      </c>
      <c r="AJ12" s="106">
        <v>2059.17</v>
      </c>
      <c r="AK12" s="105">
        <v>45630</v>
      </c>
      <c r="AL12" s="106">
        <v>2059.17</v>
      </c>
    </row>
    <row r="13" spans="1:38" s="1" customFormat="1" x14ac:dyDescent="0.25">
      <c r="A13" s="119"/>
      <c r="B13" s="25" t="s">
        <v>212</v>
      </c>
      <c r="C13" s="25"/>
      <c r="D13" s="26">
        <v>43530</v>
      </c>
      <c r="E13" s="26" t="s">
        <v>181</v>
      </c>
      <c r="F13" s="71" t="s">
        <v>13</v>
      </c>
      <c r="G13" s="74" t="s">
        <v>218</v>
      </c>
      <c r="H13" s="75">
        <v>45910</v>
      </c>
      <c r="I13" s="72"/>
      <c r="J13" s="27"/>
      <c r="K13" s="27"/>
      <c r="L13" s="25" t="s">
        <v>78</v>
      </c>
      <c r="M13" s="25"/>
      <c r="N13" s="25" t="str">
        <f ca="1">IF($H13&lt;TODAY(),"Vencido","OK")</f>
        <v>Vencido</v>
      </c>
      <c r="O13" s="105" t="s">
        <v>181</v>
      </c>
      <c r="P13" s="106" t="s">
        <v>181</v>
      </c>
      <c r="Q13" s="105" t="s">
        <v>181</v>
      </c>
      <c r="R13" s="106" t="s">
        <v>181</v>
      </c>
      <c r="S13" s="105" t="s">
        <v>181</v>
      </c>
      <c r="T13" s="106" t="s">
        <v>181</v>
      </c>
      <c r="U13" s="105" t="s">
        <v>181</v>
      </c>
      <c r="V13" s="106" t="s">
        <v>181</v>
      </c>
      <c r="W13" s="105" t="s">
        <v>181</v>
      </c>
      <c r="X13" s="106" t="s">
        <v>181</v>
      </c>
      <c r="Y13" s="105" t="s">
        <v>181</v>
      </c>
      <c r="Z13" s="106" t="s">
        <v>181</v>
      </c>
      <c r="AA13" s="105" t="s">
        <v>181</v>
      </c>
      <c r="AB13" s="106" t="s">
        <v>181</v>
      </c>
      <c r="AC13" s="105" t="s">
        <v>181</v>
      </c>
      <c r="AD13" s="106" t="s">
        <v>181</v>
      </c>
      <c r="AE13" s="105" t="s">
        <v>181</v>
      </c>
      <c r="AF13" s="106" t="s">
        <v>181</v>
      </c>
      <c r="AG13" s="105" t="s">
        <v>181</v>
      </c>
      <c r="AH13" s="106" t="s">
        <v>181</v>
      </c>
      <c r="AI13" s="105" t="s">
        <v>181</v>
      </c>
      <c r="AJ13" s="106" t="s">
        <v>181</v>
      </c>
      <c r="AK13" s="105" t="s">
        <v>181</v>
      </c>
      <c r="AL13" s="106" t="s">
        <v>181</v>
      </c>
    </row>
    <row r="14" spans="1:38" s="1" customFormat="1" ht="15.75" thickBot="1" x14ac:dyDescent="0.3">
      <c r="A14" s="25"/>
      <c r="B14" s="25" t="s">
        <v>213</v>
      </c>
      <c r="C14" s="25"/>
      <c r="D14" s="26">
        <v>43344</v>
      </c>
      <c r="E14" s="26" t="s">
        <v>181</v>
      </c>
      <c r="F14" s="71" t="s">
        <v>13</v>
      </c>
      <c r="G14" s="76" t="s">
        <v>218</v>
      </c>
      <c r="H14" s="77">
        <v>45910</v>
      </c>
      <c r="I14" s="72"/>
      <c r="J14" s="27"/>
      <c r="K14" s="27"/>
      <c r="L14" s="25" t="s">
        <v>78</v>
      </c>
      <c r="M14" s="25"/>
      <c r="N14" s="25" t="str">
        <f ca="1">IF($H14&lt;TODAY(),"Vencido","OK")</f>
        <v>Vencido</v>
      </c>
      <c r="O14" s="105" t="s">
        <v>181</v>
      </c>
      <c r="P14" s="106" t="s">
        <v>181</v>
      </c>
      <c r="Q14" s="105" t="s">
        <v>181</v>
      </c>
      <c r="R14" s="106" t="s">
        <v>181</v>
      </c>
      <c r="S14" s="105" t="s">
        <v>181</v>
      </c>
      <c r="T14" s="106" t="s">
        <v>181</v>
      </c>
      <c r="U14" s="105" t="s">
        <v>181</v>
      </c>
      <c r="V14" s="106" t="s">
        <v>181</v>
      </c>
      <c r="W14" s="105" t="s">
        <v>181</v>
      </c>
      <c r="X14" s="106" t="s">
        <v>181</v>
      </c>
      <c r="Y14" s="105" t="s">
        <v>181</v>
      </c>
      <c r="Z14" s="106" t="s">
        <v>181</v>
      </c>
      <c r="AA14" s="105" t="s">
        <v>181</v>
      </c>
      <c r="AB14" s="106" t="s">
        <v>181</v>
      </c>
      <c r="AC14" s="105" t="s">
        <v>181</v>
      </c>
      <c r="AD14" s="106" t="s">
        <v>181</v>
      </c>
      <c r="AE14" s="105" t="s">
        <v>181</v>
      </c>
      <c r="AF14" s="106" t="s">
        <v>181</v>
      </c>
      <c r="AG14" s="105" t="s">
        <v>181</v>
      </c>
      <c r="AH14" s="106" t="s">
        <v>181</v>
      </c>
      <c r="AI14" s="105" t="s">
        <v>181</v>
      </c>
      <c r="AJ14" s="106" t="s">
        <v>181</v>
      </c>
      <c r="AK14" s="105" t="s">
        <v>181</v>
      </c>
      <c r="AL14" s="106" t="s">
        <v>181</v>
      </c>
    </row>
    <row r="15" spans="1:38" s="1" customFormat="1" x14ac:dyDescent="0.25">
      <c r="A15" s="119">
        <v>7</v>
      </c>
      <c r="B15" s="25" t="s">
        <v>230</v>
      </c>
      <c r="C15" s="25" t="s">
        <v>264</v>
      </c>
      <c r="D15" s="26">
        <v>43115</v>
      </c>
      <c r="E15" s="26" t="s">
        <v>181</v>
      </c>
      <c r="F15" s="71" t="s">
        <v>216</v>
      </c>
      <c r="G15" s="25" t="s">
        <v>217</v>
      </c>
      <c r="H15" s="25" t="s">
        <v>181</v>
      </c>
      <c r="I15" s="72">
        <v>3500</v>
      </c>
      <c r="J15" s="27" t="s">
        <v>140</v>
      </c>
      <c r="K15" s="27" t="s">
        <v>191</v>
      </c>
      <c r="L15" s="25" t="s">
        <v>78</v>
      </c>
      <c r="M15" s="25"/>
      <c r="N15" s="25" t="s">
        <v>319</v>
      </c>
      <c r="O15" s="105">
        <v>45300</v>
      </c>
      <c r="P15" s="106">
        <v>2500</v>
      </c>
      <c r="Q15" s="105">
        <v>45327</v>
      </c>
      <c r="R15" s="106">
        <v>2500</v>
      </c>
      <c r="S15" s="105">
        <v>45356</v>
      </c>
      <c r="T15" s="106">
        <v>2750</v>
      </c>
      <c r="U15" s="105">
        <v>45391</v>
      </c>
      <c r="V15" s="106">
        <v>2750</v>
      </c>
      <c r="W15" s="105">
        <v>45421</v>
      </c>
      <c r="X15" s="106">
        <v>2750</v>
      </c>
      <c r="Y15" s="105">
        <v>45448</v>
      </c>
      <c r="Z15" s="106">
        <v>2750</v>
      </c>
      <c r="AA15" s="105">
        <v>45475</v>
      </c>
      <c r="AB15" s="106">
        <v>2750</v>
      </c>
      <c r="AC15" s="105">
        <v>45505</v>
      </c>
      <c r="AD15" s="106">
        <v>2750</v>
      </c>
      <c r="AE15" s="105">
        <v>45538</v>
      </c>
      <c r="AF15" s="106">
        <v>2750</v>
      </c>
      <c r="AG15" s="105">
        <v>45566</v>
      </c>
      <c r="AH15" s="106">
        <v>2750</v>
      </c>
      <c r="AI15" s="105">
        <v>45603</v>
      </c>
      <c r="AJ15" s="106">
        <v>2750</v>
      </c>
      <c r="AK15" s="105">
        <v>45629</v>
      </c>
      <c r="AL15" s="106">
        <v>2750</v>
      </c>
    </row>
    <row r="16" spans="1:38" s="1" customFormat="1" x14ac:dyDescent="0.25">
      <c r="A16" s="25">
        <v>8</v>
      </c>
      <c r="B16" s="25" t="s">
        <v>265</v>
      </c>
      <c r="C16" s="25" t="s">
        <v>268</v>
      </c>
      <c r="D16" s="26" t="s">
        <v>181</v>
      </c>
      <c r="E16" s="26" t="s">
        <v>181</v>
      </c>
      <c r="F16" s="26">
        <v>44013</v>
      </c>
      <c r="G16" s="78" t="s">
        <v>181</v>
      </c>
      <c r="H16" s="78" t="s">
        <v>181</v>
      </c>
      <c r="I16" s="27">
        <v>2253.75</v>
      </c>
      <c r="J16" s="27" t="s">
        <v>111</v>
      </c>
      <c r="K16" s="27" t="s">
        <v>267</v>
      </c>
      <c r="L16" s="25" t="s">
        <v>78</v>
      </c>
      <c r="M16" s="25" t="s">
        <v>154</v>
      </c>
      <c r="N16" s="25" t="s">
        <v>319</v>
      </c>
      <c r="O16" s="105">
        <v>45303</v>
      </c>
      <c r="P16" s="106">
        <v>980</v>
      </c>
      <c r="Q16" s="105">
        <v>45332</v>
      </c>
      <c r="R16" s="106">
        <v>980</v>
      </c>
      <c r="S16" s="105">
        <v>45365</v>
      </c>
      <c r="T16" s="106">
        <v>980</v>
      </c>
      <c r="U16" s="105">
        <v>45394</v>
      </c>
      <c r="V16" s="106">
        <v>980</v>
      </c>
      <c r="W16" s="105">
        <v>45422</v>
      </c>
      <c r="X16" s="106">
        <v>980</v>
      </c>
      <c r="Y16" s="105">
        <v>45457</v>
      </c>
      <c r="Z16" s="106">
        <v>980</v>
      </c>
      <c r="AA16" s="105">
        <v>45485</v>
      </c>
      <c r="AB16" s="106">
        <v>980</v>
      </c>
      <c r="AC16" s="105">
        <v>45516</v>
      </c>
      <c r="AD16" s="106">
        <v>980</v>
      </c>
      <c r="AE16" s="105">
        <v>45546</v>
      </c>
      <c r="AF16" s="106">
        <v>980</v>
      </c>
      <c r="AG16" s="105">
        <v>45579</v>
      </c>
      <c r="AH16" s="106">
        <v>980</v>
      </c>
      <c r="AI16" s="105">
        <v>45610</v>
      </c>
      <c r="AJ16" s="106">
        <v>980</v>
      </c>
      <c r="AK16" s="105">
        <v>45643</v>
      </c>
      <c r="AL16" s="106">
        <v>980</v>
      </c>
    </row>
    <row r="17" spans="1:38" s="1" customFormat="1" x14ac:dyDescent="0.25">
      <c r="A17" s="155">
        <v>9</v>
      </c>
      <c r="B17" s="2" t="s">
        <v>95</v>
      </c>
      <c r="C17" s="2" t="s">
        <v>96</v>
      </c>
      <c r="D17" s="3">
        <v>41459</v>
      </c>
      <c r="E17" s="26" t="s">
        <v>181</v>
      </c>
      <c r="F17" s="3" t="s">
        <v>6</v>
      </c>
      <c r="G17" s="2" t="s">
        <v>6</v>
      </c>
      <c r="H17" s="2" t="s">
        <v>181</v>
      </c>
      <c r="I17" s="4">
        <v>260</v>
      </c>
      <c r="J17" s="4" t="s">
        <v>147</v>
      </c>
      <c r="K17" s="4" t="s">
        <v>193</v>
      </c>
      <c r="L17" s="2" t="s">
        <v>78</v>
      </c>
      <c r="M17" s="68" t="s">
        <v>215</v>
      </c>
      <c r="N17" s="68" t="s">
        <v>318</v>
      </c>
      <c r="O17" s="152" t="s">
        <v>321</v>
      </c>
      <c r="P17" s="152" t="s">
        <v>321</v>
      </c>
      <c r="Q17" s="152" t="s">
        <v>321</v>
      </c>
      <c r="R17" s="152" t="s">
        <v>321</v>
      </c>
      <c r="S17" s="152" t="s">
        <v>321</v>
      </c>
      <c r="T17" s="152" t="s">
        <v>321</v>
      </c>
      <c r="U17" s="152" t="s">
        <v>321</v>
      </c>
      <c r="V17" s="152" t="s">
        <v>321</v>
      </c>
      <c r="W17" s="152" t="s">
        <v>321</v>
      </c>
      <c r="X17" s="152" t="s">
        <v>321</v>
      </c>
      <c r="Y17" s="152" t="s">
        <v>321</v>
      </c>
      <c r="Z17" s="152" t="s">
        <v>321</v>
      </c>
      <c r="AA17" s="152" t="s">
        <v>321</v>
      </c>
      <c r="AB17" s="152" t="s">
        <v>321</v>
      </c>
      <c r="AC17" s="152" t="s">
        <v>321</v>
      </c>
      <c r="AD17" s="152" t="s">
        <v>321</v>
      </c>
      <c r="AE17" s="152" t="s">
        <v>321</v>
      </c>
      <c r="AF17" s="152" t="s">
        <v>321</v>
      </c>
      <c r="AG17" s="152" t="s">
        <v>321</v>
      </c>
      <c r="AH17" s="152" t="s">
        <v>321</v>
      </c>
      <c r="AI17" s="152" t="s">
        <v>321</v>
      </c>
      <c r="AJ17" s="152" t="s">
        <v>321</v>
      </c>
      <c r="AK17" s="152" t="s">
        <v>321</v>
      </c>
      <c r="AL17" s="152" t="s">
        <v>321</v>
      </c>
    </row>
    <row r="18" spans="1:38" s="1" customFormat="1" x14ac:dyDescent="0.25">
      <c r="A18" s="2">
        <v>10</v>
      </c>
      <c r="B18" s="2" t="s">
        <v>150</v>
      </c>
      <c r="C18" s="2" t="s">
        <v>151</v>
      </c>
      <c r="D18" s="3">
        <v>43060</v>
      </c>
      <c r="E18" s="26" t="s">
        <v>181</v>
      </c>
      <c r="F18" s="3" t="s">
        <v>28</v>
      </c>
      <c r="G18" s="2" t="s">
        <v>217</v>
      </c>
      <c r="H18" s="2" t="s">
        <v>15</v>
      </c>
      <c r="I18" s="4">
        <v>4500</v>
      </c>
      <c r="J18" s="27" t="s">
        <v>110</v>
      </c>
      <c r="K18" s="27" t="s">
        <v>194</v>
      </c>
      <c r="L18" s="2" t="s">
        <v>78</v>
      </c>
      <c r="M18" s="2"/>
      <c r="N18" s="2" t="s">
        <v>319</v>
      </c>
      <c r="O18" s="105">
        <v>45293</v>
      </c>
      <c r="P18" s="106">
        <v>7405.46</v>
      </c>
      <c r="Q18" s="105">
        <v>45323</v>
      </c>
      <c r="R18" s="106">
        <v>7405.46</v>
      </c>
      <c r="S18" s="105">
        <v>45352</v>
      </c>
      <c r="T18" s="106">
        <v>7739.19</v>
      </c>
      <c r="U18" s="105">
        <v>45383</v>
      </c>
      <c r="V18" s="106">
        <v>7739.19</v>
      </c>
      <c r="W18" s="105">
        <v>45414</v>
      </c>
      <c r="X18" s="106">
        <v>7739.19</v>
      </c>
      <c r="Y18" s="105">
        <v>45446</v>
      </c>
      <c r="Z18" s="106">
        <v>7739.19</v>
      </c>
      <c r="AA18" s="105">
        <v>45475</v>
      </c>
      <c r="AB18" s="106">
        <v>7739.19</v>
      </c>
      <c r="AC18" s="105">
        <v>45505</v>
      </c>
      <c r="AD18" s="106">
        <v>7739.19</v>
      </c>
      <c r="AE18" s="105">
        <v>45537</v>
      </c>
      <c r="AF18" s="106">
        <v>7739.63</v>
      </c>
      <c r="AG18" s="105">
        <v>45566</v>
      </c>
      <c r="AH18" s="106">
        <v>7739.63</v>
      </c>
      <c r="AI18" s="105">
        <v>45597</v>
      </c>
      <c r="AJ18" s="106">
        <v>7739.63</v>
      </c>
      <c r="AK18" s="105">
        <v>45627</v>
      </c>
      <c r="AL18" s="106">
        <v>7739.63</v>
      </c>
    </row>
    <row r="19" spans="1:38" s="1" customFormat="1" x14ac:dyDescent="0.25">
      <c r="A19" s="155">
        <v>11</v>
      </c>
      <c r="B19" s="2" t="s">
        <v>310</v>
      </c>
      <c r="C19" s="2" t="s">
        <v>159</v>
      </c>
      <c r="D19" s="3" t="s">
        <v>181</v>
      </c>
      <c r="E19" s="26" t="s">
        <v>181</v>
      </c>
      <c r="F19" s="3" t="s">
        <v>181</v>
      </c>
      <c r="G19" s="2" t="s">
        <v>181</v>
      </c>
      <c r="H19" s="2" t="s">
        <v>149</v>
      </c>
      <c r="I19" s="4">
        <v>1132.8499999999999</v>
      </c>
      <c r="J19" s="27" t="s">
        <v>140</v>
      </c>
      <c r="K19" s="27" t="s">
        <v>185</v>
      </c>
      <c r="L19" s="2" t="s">
        <v>78</v>
      </c>
      <c r="M19" s="2"/>
      <c r="N19" s="2" t="s">
        <v>319</v>
      </c>
      <c r="O19" s="105">
        <v>45299</v>
      </c>
      <c r="P19" s="106">
        <f>1767.92+58.93</f>
        <v>1826.8500000000001</v>
      </c>
      <c r="Q19" s="105">
        <v>45329</v>
      </c>
      <c r="R19" s="106">
        <f>1767.92+58.93</f>
        <v>1826.8500000000001</v>
      </c>
      <c r="S19" s="105">
        <v>45357</v>
      </c>
      <c r="T19" s="106">
        <f>1767.92+58.93</f>
        <v>1826.8500000000001</v>
      </c>
      <c r="U19" s="105">
        <v>45391</v>
      </c>
      <c r="V19" s="106">
        <f>1767.92+58.93</f>
        <v>1826.8500000000001</v>
      </c>
      <c r="W19" s="105">
        <v>45433</v>
      </c>
      <c r="X19" s="106">
        <f>11.79+353.58</f>
        <v>365.37</v>
      </c>
      <c r="Y19" s="105" t="s">
        <v>181</v>
      </c>
      <c r="Z19" s="106" t="s">
        <v>181</v>
      </c>
      <c r="AA19" s="105" t="s">
        <v>181</v>
      </c>
      <c r="AB19" s="106" t="s">
        <v>181</v>
      </c>
      <c r="AC19" s="105" t="s">
        <v>181</v>
      </c>
      <c r="AD19" s="106" t="s">
        <v>181</v>
      </c>
      <c r="AE19" s="105" t="s">
        <v>181</v>
      </c>
      <c r="AF19" s="106" t="s">
        <v>181</v>
      </c>
      <c r="AG19" s="105" t="s">
        <v>181</v>
      </c>
      <c r="AH19" s="106" t="s">
        <v>181</v>
      </c>
      <c r="AI19" s="105" t="s">
        <v>181</v>
      </c>
      <c r="AJ19" s="106" t="s">
        <v>181</v>
      </c>
      <c r="AK19" s="105" t="s">
        <v>181</v>
      </c>
      <c r="AL19" s="106" t="s">
        <v>181</v>
      </c>
    </row>
    <row r="20" spans="1:38" s="1" customFormat="1" x14ac:dyDescent="0.25">
      <c r="A20" s="155" t="s">
        <v>333</v>
      </c>
      <c r="B20" s="2" t="s">
        <v>331</v>
      </c>
      <c r="C20" s="2" t="s">
        <v>332</v>
      </c>
      <c r="D20" s="26" t="s">
        <v>181</v>
      </c>
      <c r="E20" s="26" t="s">
        <v>181</v>
      </c>
      <c r="F20" s="26" t="s">
        <v>181</v>
      </c>
      <c r="G20" s="2" t="s">
        <v>181</v>
      </c>
      <c r="H20" s="2" t="s">
        <v>181</v>
      </c>
      <c r="I20" s="4">
        <v>540</v>
      </c>
      <c r="J20" s="27" t="s">
        <v>335</v>
      </c>
      <c r="K20" s="27"/>
      <c r="L20" s="2" t="s">
        <v>78</v>
      </c>
      <c r="M20" s="2"/>
      <c r="N20" s="2" t="s">
        <v>319</v>
      </c>
      <c r="O20" s="105" t="s">
        <v>181</v>
      </c>
      <c r="P20" s="106" t="s">
        <v>181</v>
      </c>
      <c r="Q20" s="105" t="s">
        <v>181</v>
      </c>
      <c r="R20" s="106" t="s">
        <v>181</v>
      </c>
      <c r="S20" s="105" t="s">
        <v>181</v>
      </c>
      <c r="T20" s="106" t="s">
        <v>181</v>
      </c>
      <c r="U20" s="105">
        <v>45384</v>
      </c>
      <c r="V20" s="106">
        <v>666</v>
      </c>
      <c r="W20" s="105">
        <v>45427</v>
      </c>
      <c r="X20" s="106">
        <v>540</v>
      </c>
      <c r="Y20" s="105">
        <v>45448</v>
      </c>
      <c r="Z20" s="106">
        <v>540</v>
      </c>
      <c r="AA20" s="105">
        <v>45490</v>
      </c>
      <c r="AB20" s="106">
        <v>540</v>
      </c>
      <c r="AC20" s="105">
        <v>45519</v>
      </c>
      <c r="AD20" s="106">
        <v>540</v>
      </c>
      <c r="AE20" s="105">
        <v>45544</v>
      </c>
      <c r="AF20" s="106">
        <v>540</v>
      </c>
      <c r="AG20" s="105">
        <v>45575</v>
      </c>
      <c r="AH20" s="106">
        <v>540</v>
      </c>
      <c r="AI20" s="105">
        <v>45602</v>
      </c>
      <c r="AJ20" s="106">
        <v>540</v>
      </c>
      <c r="AK20" s="105">
        <v>45632</v>
      </c>
      <c r="AL20" s="106">
        <v>540</v>
      </c>
    </row>
    <row r="21" spans="1:38" s="1" customFormat="1" x14ac:dyDescent="0.25">
      <c r="A21" s="2">
        <v>12</v>
      </c>
      <c r="B21" s="2" t="s">
        <v>37</v>
      </c>
      <c r="C21" s="2" t="s">
        <v>172</v>
      </c>
      <c r="D21" s="3">
        <v>34719</v>
      </c>
      <c r="E21" s="115" t="s">
        <v>273</v>
      </c>
      <c r="F21" s="3"/>
      <c r="G21" s="68" t="s">
        <v>277</v>
      </c>
      <c r="H21" s="2" t="s">
        <v>181</v>
      </c>
      <c r="I21" s="4" t="s">
        <v>139</v>
      </c>
      <c r="J21" s="4" t="s">
        <v>170</v>
      </c>
      <c r="K21" s="4" t="s">
        <v>195</v>
      </c>
      <c r="L21" s="2" t="s">
        <v>78</v>
      </c>
      <c r="M21" s="2"/>
      <c r="N21" s="2" t="s">
        <v>320</v>
      </c>
      <c r="O21" s="105" t="s">
        <v>181</v>
      </c>
      <c r="P21" s="106" t="s">
        <v>181</v>
      </c>
      <c r="Q21" s="105" t="s">
        <v>181</v>
      </c>
      <c r="R21" s="106" t="s">
        <v>181</v>
      </c>
      <c r="S21" s="105" t="s">
        <v>181</v>
      </c>
      <c r="T21" s="106" t="s">
        <v>181</v>
      </c>
      <c r="U21" s="105" t="s">
        <v>181</v>
      </c>
      <c r="V21" s="106" t="s">
        <v>181</v>
      </c>
      <c r="W21" s="105" t="s">
        <v>181</v>
      </c>
      <c r="X21" s="106" t="s">
        <v>181</v>
      </c>
      <c r="Y21" s="105" t="s">
        <v>181</v>
      </c>
      <c r="Z21" s="106" t="s">
        <v>181</v>
      </c>
      <c r="AA21" s="105" t="s">
        <v>181</v>
      </c>
      <c r="AB21" s="106" t="s">
        <v>181</v>
      </c>
      <c r="AC21" s="105" t="s">
        <v>181</v>
      </c>
      <c r="AD21" s="106" t="s">
        <v>181</v>
      </c>
      <c r="AE21" s="105" t="s">
        <v>181</v>
      </c>
      <c r="AF21" s="106" t="s">
        <v>181</v>
      </c>
      <c r="AG21" s="105" t="s">
        <v>181</v>
      </c>
      <c r="AH21" s="106" t="s">
        <v>181</v>
      </c>
      <c r="AI21" s="105" t="s">
        <v>181</v>
      </c>
      <c r="AJ21" s="106" t="s">
        <v>181</v>
      </c>
      <c r="AK21" s="105" t="s">
        <v>181</v>
      </c>
      <c r="AL21" s="106" t="s">
        <v>181</v>
      </c>
    </row>
    <row r="22" spans="1:38" s="1" customFormat="1" x14ac:dyDescent="0.25">
      <c r="A22" s="155">
        <v>13</v>
      </c>
      <c r="B22" s="2" t="s">
        <v>38</v>
      </c>
      <c r="C22" s="2" t="s">
        <v>180</v>
      </c>
      <c r="D22" s="3" t="s">
        <v>181</v>
      </c>
      <c r="E22" s="3" t="s">
        <v>181</v>
      </c>
      <c r="F22" s="3" t="s">
        <v>181</v>
      </c>
      <c r="G22" s="68" t="s">
        <v>277</v>
      </c>
      <c r="H22" s="2" t="s">
        <v>181</v>
      </c>
      <c r="I22" s="4" t="s">
        <v>139</v>
      </c>
      <c r="J22" s="4" t="s">
        <v>170</v>
      </c>
      <c r="K22" s="4" t="s">
        <v>198</v>
      </c>
      <c r="L22" s="2" t="s">
        <v>78</v>
      </c>
      <c r="M22" s="2"/>
      <c r="N22" s="2" t="s">
        <v>320</v>
      </c>
      <c r="O22" s="105" t="s">
        <v>181</v>
      </c>
      <c r="P22" s="106" t="s">
        <v>181</v>
      </c>
      <c r="Q22" s="105" t="s">
        <v>181</v>
      </c>
      <c r="R22" s="106" t="s">
        <v>181</v>
      </c>
      <c r="S22" s="105" t="s">
        <v>181</v>
      </c>
      <c r="T22" s="106" t="s">
        <v>181</v>
      </c>
      <c r="U22" s="105" t="s">
        <v>181</v>
      </c>
      <c r="V22" s="106" t="s">
        <v>181</v>
      </c>
      <c r="W22" s="105" t="s">
        <v>181</v>
      </c>
      <c r="X22" s="106" t="s">
        <v>181</v>
      </c>
      <c r="Y22" s="105" t="s">
        <v>181</v>
      </c>
      <c r="Z22" s="106" t="s">
        <v>181</v>
      </c>
      <c r="AA22" s="105" t="s">
        <v>181</v>
      </c>
      <c r="AB22" s="106" t="s">
        <v>181</v>
      </c>
      <c r="AC22" s="105" t="s">
        <v>181</v>
      </c>
      <c r="AD22" s="106" t="s">
        <v>181</v>
      </c>
      <c r="AE22" s="105" t="s">
        <v>181</v>
      </c>
      <c r="AF22" s="106" t="s">
        <v>181</v>
      </c>
      <c r="AG22" s="105" t="s">
        <v>181</v>
      </c>
      <c r="AH22" s="106" t="s">
        <v>181</v>
      </c>
      <c r="AI22" s="105" t="s">
        <v>181</v>
      </c>
      <c r="AJ22" s="106" t="s">
        <v>181</v>
      </c>
      <c r="AK22" s="105" t="s">
        <v>181</v>
      </c>
      <c r="AL22" s="106" t="s">
        <v>181</v>
      </c>
    </row>
    <row r="23" spans="1:38" s="1" customFormat="1" x14ac:dyDescent="0.25">
      <c r="A23" s="2">
        <v>14</v>
      </c>
      <c r="B23" s="2" t="s">
        <v>176</v>
      </c>
      <c r="C23" s="2" t="s">
        <v>179</v>
      </c>
      <c r="D23" s="3" t="s">
        <v>181</v>
      </c>
      <c r="E23" s="3" t="s">
        <v>181</v>
      </c>
      <c r="F23" s="3" t="s">
        <v>181</v>
      </c>
      <c r="G23" s="2" t="s">
        <v>181</v>
      </c>
      <c r="H23" s="2" t="s">
        <v>181</v>
      </c>
      <c r="I23" s="4" t="s">
        <v>139</v>
      </c>
      <c r="J23" s="4" t="s">
        <v>170</v>
      </c>
      <c r="K23" s="4" t="s">
        <v>197</v>
      </c>
      <c r="L23" s="2" t="s">
        <v>78</v>
      </c>
      <c r="M23" s="2"/>
      <c r="N23" s="2" t="s">
        <v>320</v>
      </c>
      <c r="O23" s="105">
        <v>45307</v>
      </c>
      <c r="P23" s="106">
        <v>901.1</v>
      </c>
      <c r="Q23" s="105">
        <v>45338</v>
      </c>
      <c r="R23" s="106">
        <v>849.59</v>
      </c>
      <c r="S23" s="105">
        <v>45365</v>
      </c>
      <c r="T23" s="106">
        <v>1151.04</v>
      </c>
      <c r="U23" s="105">
        <v>45397</v>
      </c>
      <c r="V23" s="106">
        <v>520.25</v>
      </c>
      <c r="W23" s="105">
        <v>45427</v>
      </c>
      <c r="X23" s="106">
        <v>972.9</v>
      </c>
      <c r="Y23" s="105">
        <v>45457</v>
      </c>
      <c r="Z23" s="106">
        <v>1134.68</v>
      </c>
      <c r="AA23" s="105">
        <v>45489</v>
      </c>
      <c r="AB23" s="106">
        <v>1025.3599999999999</v>
      </c>
      <c r="AC23" s="105">
        <v>45519</v>
      </c>
      <c r="AD23" s="106">
        <v>1071.46</v>
      </c>
      <c r="AE23" s="105">
        <v>45552</v>
      </c>
      <c r="AF23" s="106">
        <v>1104.93</v>
      </c>
      <c r="AG23" s="105">
        <v>45579</v>
      </c>
      <c r="AH23" s="106">
        <v>926.64</v>
      </c>
      <c r="AI23" s="105">
        <v>45610</v>
      </c>
      <c r="AJ23" s="106">
        <v>1057.77</v>
      </c>
      <c r="AK23" s="105">
        <v>45642</v>
      </c>
      <c r="AL23" s="106">
        <v>1078.07</v>
      </c>
    </row>
    <row r="24" spans="1:38" s="1" customFormat="1" x14ac:dyDescent="0.25">
      <c r="A24" s="155">
        <v>15</v>
      </c>
      <c r="B24" s="2" t="s">
        <v>339</v>
      </c>
      <c r="C24" s="2" t="s">
        <v>178</v>
      </c>
      <c r="D24" s="3" t="s">
        <v>181</v>
      </c>
      <c r="E24" s="3" t="s">
        <v>181</v>
      </c>
      <c r="F24" s="3" t="s">
        <v>181</v>
      </c>
      <c r="G24" s="2" t="s">
        <v>181</v>
      </c>
      <c r="H24" s="2" t="s">
        <v>181</v>
      </c>
      <c r="I24" s="4" t="s">
        <v>139</v>
      </c>
      <c r="J24" s="4" t="s">
        <v>170</v>
      </c>
      <c r="K24" s="4" t="s">
        <v>197</v>
      </c>
      <c r="L24" s="2" t="s">
        <v>78</v>
      </c>
      <c r="M24" s="2"/>
      <c r="N24" s="2" t="s">
        <v>320</v>
      </c>
      <c r="O24" s="105">
        <v>45307</v>
      </c>
      <c r="P24" s="106">
        <v>119.53</v>
      </c>
      <c r="Q24" s="105">
        <v>45341</v>
      </c>
      <c r="R24" s="106">
        <v>97.42</v>
      </c>
      <c r="S24" s="105">
        <v>45365</v>
      </c>
      <c r="T24" s="106">
        <v>134.49</v>
      </c>
      <c r="U24" s="105">
        <v>45399</v>
      </c>
      <c r="V24" s="106">
        <v>533.91999999999996</v>
      </c>
      <c r="W24" s="105">
        <v>45427</v>
      </c>
      <c r="X24" s="106">
        <v>115.18</v>
      </c>
      <c r="Y24" s="105">
        <v>45457</v>
      </c>
      <c r="Z24" s="106">
        <v>126.91</v>
      </c>
      <c r="AA24" s="105">
        <v>45489</v>
      </c>
      <c r="AB24" s="106">
        <v>113.18</v>
      </c>
      <c r="AC24" s="105">
        <v>45519</v>
      </c>
      <c r="AD24" s="106">
        <v>115.18</v>
      </c>
      <c r="AE24" s="105">
        <v>45552</v>
      </c>
      <c r="AF24" s="106">
        <v>123.98</v>
      </c>
      <c r="AG24" s="105">
        <v>45581</v>
      </c>
      <c r="AH24" s="106">
        <v>121.5</v>
      </c>
      <c r="AI24" s="105">
        <v>45615</v>
      </c>
      <c r="AJ24" s="106">
        <v>162.86000000000001</v>
      </c>
      <c r="AK24" s="105">
        <v>45643</v>
      </c>
      <c r="AL24" s="106">
        <v>222.61</v>
      </c>
    </row>
    <row r="25" spans="1:38" s="1" customFormat="1" x14ac:dyDescent="0.25">
      <c r="A25" s="2">
        <v>16</v>
      </c>
      <c r="B25" s="2" t="s">
        <v>167</v>
      </c>
      <c r="C25" s="2" t="s">
        <v>182</v>
      </c>
      <c r="D25" s="3" t="s">
        <v>181</v>
      </c>
      <c r="E25" s="3" t="s">
        <v>181</v>
      </c>
      <c r="F25" s="3" t="s">
        <v>181</v>
      </c>
      <c r="G25" s="2" t="s">
        <v>181</v>
      </c>
      <c r="H25" s="2" t="s">
        <v>181</v>
      </c>
      <c r="I25" s="4" t="s">
        <v>139</v>
      </c>
      <c r="J25" s="4" t="s">
        <v>170</v>
      </c>
      <c r="K25" s="4" t="s">
        <v>196</v>
      </c>
      <c r="L25" s="2" t="s">
        <v>78</v>
      </c>
      <c r="M25" s="2"/>
      <c r="N25" s="2" t="s">
        <v>320</v>
      </c>
      <c r="O25" s="105">
        <v>45294</v>
      </c>
      <c r="P25" s="106">
        <v>1504.86</v>
      </c>
      <c r="Q25" s="105">
        <v>45324</v>
      </c>
      <c r="R25" s="106">
        <v>1573.27</v>
      </c>
      <c r="S25" s="105">
        <v>45352</v>
      </c>
      <c r="T25" s="106">
        <v>1500.99</v>
      </c>
      <c r="U25" s="105">
        <v>45393</v>
      </c>
      <c r="V25" s="106">
        <v>1500.99</v>
      </c>
      <c r="W25" s="105">
        <v>45414</v>
      </c>
      <c r="X25" s="106">
        <v>1500.99</v>
      </c>
      <c r="Y25" s="105">
        <v>45448</v>
      </c>
      <c r="Z25" s="106">
        <v>1492.78</v>
      </c>
      <c r="AA25" s="105">
        <v>45483</v>
      </c>
      <c r="AB25" s="106">
        <v>1472.98</v>
      </c>
      <c r="AC25" s="105">
        <v>45505</v>
      </c>
      <c r="AD25" s="106">
        <v>1407.61</v>
      </c>
      <c r="AE25" s="105">
        <v>45536</v>
      </c>
      <c r="AF25" s="106">
        <v>1407.61</v>
      </c>
      <c r="AG25" s="105">
        <v>45572</v>
      </c>
      <c r="AH25" s="106">
        <v>1415.61</v>
      </c>
      <c r="AI25" s="105">
        <v>45597</v>
      </c>
      <c r="AJ25" s="106">
        <v>1415.61</v>
      </c>
      <c r="AK25" s="105">
        <v>45630</v>
      </c>
      <c r="AL25" s="106">
        <v>1415.61</v>
      </c>
    </row>
    <row r="26" spans="1:38" s="1" customFormat="1" x14ac:dyDescent="0.25">
      <c r="A26" s="155">
        <v>17</v>
      </c>
      <c r="B26" s="2" t="s">
        <v>329</v>
      </c>
      <c r="C26" s="2" t="s">
        <v>200</v>
      </c>
      <c r="D26" s="3" t="s">
        <v>181</v>
      </c>
      <c r="E26" s="3" t="s">
        <v>181</v>
      </c>
      <c r="F26" s="3" t="s">
        <v>181</v>
      </c>
      <c r="G26" s="2" t="s">
        <v>181</v>
      </c>
      <c r="H26" s="2" t="s">
        <v>181</v>
      </c>
      <c r="I26" s="4">
        <v>99.9</v>
      </c>
      <c r="J26" s="4" t="s">
        <v>170</v>
      </c>
      <c r="K26" s="4" t="s">
        <v>208</v>
      </c>
      <c r="L26" s="2" t="s">
        <v>78</v>
      </c>
      <c r="M26" s="2"/>
      <c r="N26" s="2" t="s">
        <v>320</v>
      </c>
      <c r="O26" s="105">
        <v>45296</v>
      </c>
      <c r="P26" s="103">
        <v>119.83</v>
      </c>
      <c r="Q26" s="105">
        <v>45323</v>
      </c>
      <c r="R26" s="106">
        <v>119.95</v>
      </c>
      <c r="S26" s="105">
        <v>45352</v>
      </c>
      <c r="T26" s="106">
        <v>119.95</v>
      </c>
      <c r="U26" s="105">
        <v>45387</v>
      </c>
      <c r="V26" s="106">
        <v>122.4</v>
      </c>
      <c r="W26" s="105">
        <v>45413</v>
      </c>
      <c r="X26" s="106">
        <v>119.95</v>
      </c>
      <c r="Y26" s="105">
        <v>45448</v>
      </c>
      <c r="Z26" s="106">
        <v>119.94</v>
      </c>
      <c r="AA26" s="105">
        <v>45474</v>
      </c>
      <c r="AB26" s="106">
        <v>119.95</v>
      </c>
      <c r="AC26" s="105">
        <v>45505</v>
      </c>
      <c r="AD26" s="106">
        <v>119.95</v>
      </c>
      <c r="AE26" s="105">
        <v>45536</v>
      </c>
      <c r="AF26" s="106">
        <v>120.42</v>
      </c>
      <c r="AG26" s="105">
        <v>45566</v>
      </c>
      <c r="AH26" s="106">
        <v>120.42</v>
      </c>
      <c r="AI26" s="105">
        <v>45597</v>
      </c>
      <c r="AJ26" s="106">
        <v>120.42</v>
      </c>
      <c r="AK26" s="105">
        <v>45614</v>
      </c>
      <c r="AL26" s="106">
        <v>120.42</v>
      </c>
    </row>
    <row r="27" spans="1:38" s="1" customFormat="1" x14ac:dyDescent="0.25">
      <c r="A27" s="2">
        <v>18</v>
      </c>
      <c r="B27" s="2" t="s">
        <v>328</v>
      </c>
      <c r="C27" s="2" t="s">
        <v>280</v>
      </c>
      <c r="D27" s="3" t="s">
        <v>181</v>
      </c>
      <c r="E27" s="3" t="s">
        <v>181</v>
      </c>
      <c r="F27" s="3" t="s">
        <v>181</v>
      </c>
      <c r="G27" s="2" t="s">
        <v>181</v>
      </c>
      <c r="H27" s="2" t="s">
        <v>181</v>
      </c>
      <c r="I27" s="4">
        <v>119.9</v>
      </c>
      <c r="J27" s="4" t="s">
        <v>170</v>
      </c>
      <c r="K27" s="4" t="s">
        <v>208</v>
      </c>
      <c r="L27" s="2" t="s">
        <v>78</v>
      </c>
      <c r="M27" s="2"/>
      <c r="N27" s="2" t="s">
        <v>320</v>
      </c>
      <c r="O27" s="105">
        <v>45296</v>
      </c>
      <c r="P27" s="103">
        <v>119.83</v>
      </c>
      <c r="Q27" s="105">
        <v>45323</v>
      </c>
      <c r="R27" s="103">
        <v>123.55</v>
      </c>
      <c r="S27" s="105">
        <v>45352</v>
      </c>
      <c r="T27" s="106">
        <v>119.95</v>
      </c>
      <c r="U27" s="105">
        <v>45387</v>
      </c>
      <c r="V27" s="106">
        <v>122.4</v>
      </c>
      <c r="W27" s="105">
        <v>45413</v>
      </c>
      <c r="X27" s="106">
        <v>119.95</v>
      </c>
      <c r="Y27" s="105">
        <v>45448</v>
      </c>
      <c r="Z27" s="106">
        <v>119.94</v>
      </c>
      <c r="AA27" s="105">
        <v>45474</v>
      </c>
      <c r="AB27" s="106">
        <v>119.95</v>
      </c>
      <c r="AC27" s="105">
        <v>45505</v>
      </c>
      <c r="AD27" s="106">
        <v>119.95</v>
      </c>
      <c r="AE27" s="105">
        <v>45536</v>
      </c>
      <c r="AF27" s="106">
        <v>120.42</v>
      </c>
      <c r="AG27" s="105">
        <v>45566</v>
      </c>
      <c r="AH27" s="106">
        <v>120.42</v>
      </c>
      <c r="AI27" s="105">
        <v>45597</v>
      </c>
      <c r="AJ27" s="106">
        <v>120.31</v>
      </c>
      <c r="AK27" s="105">
        <v>45614</v>
      </c>
      <c r="AL27" s="106">
        <v>120.42</v>
      </c>
    </row>
    <row r="28" spans="1:38" s="1" customFormat="1" x14ac:dyDescent="0.25">
      <c r="A28" s="155">
        <v>19</v>
      </c>
      <c r="B28" s="2" t="s">
        <v>327</v>
      </c>
      <c r="C28" s="2" t="s">
        <v>279</v>
      </c>
      <c r="D28" s="3" t="s">
        <v>181</v>
      </c>
      <c r="E28" s="3" t="s">
        <v>181</v>
      </c>
      <c r="F28" s="3" t="s">
        <v>181</v>
      </c>
      <c r="G28" s="2" t="s">
        <v>181</v>
      </c>
      <c r="H28" s="2" t="s">
        <v>181</v>
      </c>
      <c r="I28" s="4">
        <v>119.9</v>
      </c>
      <c r="J28" s="4" t="s">
        <v>170</v>
      </c>
      <c r="K28" s="4" t="s">
        <v>208</v>
      </c>
      <c r="L28" s="2" t="s">
        <v>78</v>
      </c>
      <c r="M28" s="2"/>
      <c r="N28" s="2" t="s">
        <v>320</v>
      </c>
      <c r="O28" s="105">
        <v>45296</v>
      </c>
      <c r="P28" s="103">
        <v>119.83</v>
      </c>
      <c r="Q28" s="105">
        <v>45323</v>
      </c>
      <c r="R28" s="103">
        <v>119.95</v>
      </c>
      <c r="S28" s="105">
        <v>45352</v>
      </c>
      <c r="T28" s="106">
        <v>119.95</v>
      </c>
      <c r="U28" s="105">
        <v>45387</v>
      </c>
      <c r="V28" s="106">
        <v>122.4</v>
      </c>
      <c r="W28" s="105">
        <v>45413</v>
      </c>
      <c r="X28" s="106">
        <v>119.95</v>
      </c>
      <c r="Y28" s="105">
        <v>45448</v>
      </c>
      <c r="Z28" s="106">
        <v>119.94</v>
      </c>
      <c r="AA28" s="105">
        <v>45474</v>
      </c>
      <c r="AB28" s="106">
        <v>119.95</v>
      </c>
      <c r="AC28" s="105">
        <v>45505</v>
      </c>
      <c r="AD28" s="106">
        <v>119.95</v>
      </c>
      <c r="AE28" s="105">
        <v>45536</v>
      </c>
      <c r="AF28" s="106">
        <v>120.42</v>
      </c>
      <c r="AG28" s="105">
        <v>45566</v>
      </c>
      <c r="AH28" s="106">
        <v>120.42</v>
      </c>
      <c r="AI28" s="105">
        <v>45597</v>
      </c>
      <c r="AJ28" s="106">
        <v>120.31</v>
      </c>
      <c r="AK28" s="105">
        <v>45614</v>
      </c>
      <c r="AL28" s="106">
        <v>120.42</v>
      </c>
    </row>
    <row r="29" spans="1:38" s="1" customFormat="1" x14ac:dyDescent="0.25">
      <c r="A29" s="2">
        <v>20</v>
      </c>
      <c r="B29" s="2" t="s">
        <v>326</v>
      </c>
      <c r="C29" s="2" t="s">
        <v>312</v>
      </c>
      <c r="D29" s="3" t="s">
        <v>181</v>
      </c>
      <c r="E29" s="3" t="s">
        <v>181</v>
      </c>
      <c r="F29" s="3" t="s">
        <v>181</v>
      </c>
      <c r="G29" s="2" t="s">
        <v>181</v>
      </c>
      <c r="H29" s="2" t="s">
        <v>181</v>
      </c>
      <c r="I29" s="4">
        <v>119.9</v>
      </c>
      <c r="J29" s="4" t="s">
        <v>170</v>
      </c>
      <c r="K29" s="4" t="s">
        <v>208</v>
      </c>
      <c r="L29" s="2" t="s">
        <v>78</v>
      </c>
      <c r="M29" s="2"/>
      <c r="N29" s="2" t="s">
        <v>320</v>
      </c>
      <c r="O29" s="105">
        <v>45301</v>
      </c>
      <c r="P29" s="103">
        <v>119.93</v>
      </c>
      <c r="Q29" s="105">
        <v>45337</v>
      </c>
      <c r="R29" s="106">
        <v>119.95</v>
      </c>
      <c r="S29" s="105">
        <v>45362</v>
      </c>
      <c r="T29" s="106">
        <v>119.95</v>
      </c>
      <c r="U29" s="105">
        <v>45392</v>
      </c>
      <c r="V29" s="106">
        <v>119.95</v>
      </c>
      <c r="W29" s="105">
        <v>45422</v>
      </c>
      <c r="X29" s="106">
        <v>119.95</v>
      </c>
      <c r="Y29" s="105">
        <v>45453</v>
      </c>
      <c r="Z29" s="106">
        <v>119.94</v>
      </c>
      <c r="AA29" s="105">
        <v>45483</v>
      </c>
      <c r="AB29" s="106">
        <v>119.95</v>
      </c>
      <c r="AC29" s="105">
        <v>45516</v>
      </c>
      <c r="AD29" s="106">
        <v>119.95</v>
      </c>
      <c r="AE29" s="105">
        <v>45545</v>
      </c>
      <c r="AF29" s="106">
        <v>120.42</v>
      </c>
      <c r="AG29" s="105">
        <v>45575</v>
      </c>
      <c r="AH29" s="106">
        <v>120.42</v>
      </c>
      <c r="AI29" s="105">
        <v>45607</v>
      </c>
      <c r="AJ29" s="106">
        <v>120.42</v>
      </c>
      <c r="AK29" s="105">
        <v>45636</v>
      </c>
      <c r="AL29" s="106">
        <v>120.42</v>
      </c>
    </row>
    <row r="30" spans="1:38" s="1" customFormat="1" x14ac:dyDescent="0.25">
      <c r="A30" s="2">
        <v>21</v>
      </c>
      <c r="B30" s="2" t="s">
        <v>336</v>
      </c>
      <c r="C30" s="2" t="s">
        <v>338</v>
      </c>
      <c r="D30" s="3" t="s">
        <v>181</v>
      </c>
      <c r="E30" s="3" t="s">
        <v>181</v>
      </c>
      <c r="F30" s="3" t="s">
        <v>181</v>
      </c>
      <c r="G30" s="2" t="s">
        <v>181</v>
      </c>
      <c r="H30" s="2" t="s">
        <v>181</v>
      </c>
      <c r="I30" s="4"/>
      <c r="J30" s="4" t="s">
        <v>170</v>
      </c>
      <c r="K30" s="4"/>
      <c r="L30" s="2" t="s">
        <v>78</v>
      </c>
      <c r="M30" s="2"/>
      <c r="N30" s="2" t="s">
        <v>320</v>
      </c>
      <c r="O30" s="105" t="s">
        <v>181</v>
      </c>
      <c r="P30" s="103" t="s">
        <v>181</v>
      </c>
      <c r="Q30" s="105" t="s">
        <v>181</v>
      </c>
      <c r="R30" s="106" t="s">
        <v>181</v>
      </c>
      <c r="S30" s="105" t="s">
        <v>181</v>
      </c>
      <c r="T30" s="106" t="s">
        <v>181</v>
      </c>
      <c r="U30" s="105" t="s">
        <v>181</v>
      </c>
      <c r="V30" s="106" t="s">
        <v>181</v>
      </c>
      <c r="W30" s="105" t="s">
        <v>181</v>
      </c>
      <c r="X30" s="106" t="s">
        <v>181</v>
      </c>
      <c r="Y30" s="105" t="s">
        <v>181</v>
      </c>
      <c r="Z30" s="106" t="s">
        <v>181</v>
      </c>
      <c r="AA30" s="105" t="s">
        <v>181</v>
      </c>
      <c r="AB30" s="106" t="s">
        <v>181</v>
      </c>
      <c r="AC30" s="105">
        <v>45505</v>
      </c>
      <c r="AD30" s="106">
        <v>39.619999999999997</v>
      </c>
      <c r="AE30" s="105">
        <v>45536</v>
      </c>
      <c r="AF30" s="106">
        <v>104.9</v>
      </c>
      <c r="AG30" s="105">
        <v>45566</v>
      </c>
      <c r="AH30" s="106">
        <v>104.9</v>
      </c>
      <c r="AI30" s="105">
        <v>45597</v>
      </c>
      <c r="AJ30" s="106">
        <v>104.9</v>
      </c>
      <c r="AK30" s="105">
        <v>45624</v>
      </c>
      <c r="AL30" s="106">
        <v>104.9</v>
      </c>
    </row>
    <row r="31" spans="1:38" s="1" customFormat="1" x14ac:dyDescent="0.25">
      <c r="A31" s="2">
        <v>22</v>
      </c>
      <c r="B31" s="2" t="s">
        <v>337</v>
      </c>
      <c r="C31" s="2" t="s">
        <v>338</v>
      </c>
      <c r="D31" s="3" t="s">
        <v>181</v>
      </c>
      <c r="E31" s="3" t="s">
        <v>181</v>
      </c>
      <c r="F31" s="3" t="s">
        <v>181</v>
      </c>
      <c r="G31" s="2" t="s">
        <v>181</v>
      </c>
      <c r="H31" s="2" t="s">
        <v>181</v>
      </c>
      <c r="I31" s="4"/>
      <c r="J31" s="4" t="s">
        <v>170</v>
      </c>
      <c r="K31" s="4"/>
      <c r="L31" s="2" t="s">
        <v>78</v>
      </c>
      <c r="M31" s="2"/>
      <c r="N31" s="2" t="s">
        <v>320</v>
      </c>
      <c r="O31" s="105" t="s">
        <v>181</v>
      </c>
      <c r="P31" s="103" t="s">
        <v>181</v>
      </c>
      <c r="Q31" s="105" t="s">
        <v>181</v>
      </c>
      <c r="R31" s="106" t="s">
        <v>181</v>
      </c>
      <c r="S31" s="105" t="s">
        <v>181</v>
      </c>
      <c r="T31" s="106" t="s">
        <v>181</v>
      </c>
      <c r="U31" s="105" t="s">
        <v>181</v>
      </c>
      <c r="V31" s="106" t="s">
        <v>181</v>
      </c>
      <c r="W31" s="105" t="s">
        <v>181</v>
      </c>
      <c r="X31" s="106" t="s">
        <v>181</v>
      </c>
      <c r="Y31" s="105" t="s">
        <v>181</v>
      </c>
      <c r="Z31" s="106" t="s">
        <v>181</v>
      </c>
      <c r="AA31" s="105" t="s">
        <v>181</v>
      </c>
      <c r="AB31" s="106" t="s">
        <v>181</v>
      </c>
      <c r="AC31" s="105">
        <v>45505</v>
      </c>
      <c r="AD31" s="106">
        <v>45.46</v>
      </c>
      <c r="AE31" s="105">
        <v>45536</v>
      </c>
      <c r="AF31" s="106">
        <v>84.9</v>
      </c>
      <c r="AG31" s="105">
        <v>45566</v>
      </c>
      <c r="AH31" s="106">
        <v>84.9</v>
      </c>
      <c r="AI31" s="105">
        <v>45597</v>
      </c>
      <c r="AJ31" s="106">
        <v>84.9</v>
      </c>
      <c r="AK31" s="105">
        <v>45624</v>
      </c>
      <c r="AL31" s="106">
        <v>84.9</v>
      </c>
    </row>
    <row r="32" spans="1:38" s="1" customFormat="1" x14ac:dyDescent="0.25">
      <c r="A32" s="155">
        <v>23</v>
      </c>
      <c r="B32" s="2" t="s">
        <v>297</v>
      </c>
      <c r="C32" s="2" t="s">
        <v>298</v>
      </c>
      <c r="D32" s="3">
        <v>44676</v>
      </c>
      <c r="E32" s="3"/>
      <c r="F32" s="3" t="s">
        <v>6</v>
      </c>
      <c r="G32" s="23" t="s">
        <v>89</v>
      </c>
      <c r="H32" s="23" t="s">
        <v>181</v>
      </c>
      <c r="I32" s="4" t="s">
        <v>139</v>
      </c>
      <c r="J32" s="4" t="s">
        <v>170</v>
      </c>
      <c r="K32" s="4" t="s">
        <v>299</v>
      </c>
      <c r="L32" s="2" t="s">
        <v>78</v>
      </c>
      <c r="M32" s="2"/>
      <c r="N32" s="2" t="s">
        <v>318</v>
      </c>
      <c r="O32" s="105">
        <v>45318</v>
      </c>
      <c r="P32" s="106">
        <v>2443.5</v>
      </c>
      <c r="Q32" s="105">
        <v>45351</v>
      </c>
      <c r="R32" s="106">
        <v>2443.5</v>
      </c>
      <c r="S32" s="105">
        <v>45382</v>
      </c>
      <c r="T32" s="106">
        <v>3122.25</v>
      </c>
      <c r="U32" s="105">
        <v>45407</v>
      </c>
      <c r="V32" s="106">
        <v>2666.84</v>
      </c>
      <c r="W32" s="105">
        <v>45441</v>
      </c>
      <c r="X32" s="106">
        <v>2947.56</v>
      </c>
      <c r="Y32" s="105">
        <v>45473</v>
      </c>
      <c r="Z32" s="106">
        <f>19*140.36</f>
        <v>2666.84</v>
      </c>
      <c r="AA32" s="105">
        <v>45504</v>
      </c>
      <c r="AB32" s="106">
        <f>19*140.36</f>
        <v>2666.84</v>
      </c>
      <c r="AC32" s="105">
        <v>45532</v>
      </c>
      <c r="AD32" s="106">
        <f>25*140.36</f>
        <v>3509.0000000000005</v>
      </c>
      <c r="AE32" s="105">
        <v>45565</v>
      </c>
      <c r="AF32" s="106">
        <v>2947.56</v>
      </c>
      <c r="AG32" s="105">
        <v>45596</v>
      </c>
      <c r="AH32" s="106">
        <v>2666.84</v>
      </c>
      <c r="AI32" s="105">
        <v>45626</v>
      </c>
      <c r="AJ32" s="106">
        <v>2386.12</v>
      </c>
      <c r="AK32" s="105">
        <v>45656</v>
      </c>
      <c r="AL32" s="106">
        <v>3649.15</v>
      </c>
    </row>
    <row r="33" spans="1:38" s="1" customFormat="1" x14ac:dyDescent="0.25">
      <c r="A33" s="2">
        <v>24</v>
      </c>
      <c r="B33" s="2" t="s">
        <v>303</v>
      </c>
      <c r="C33" s="2" t="s">
        <v>304</v>
      </c>
      <c r="D33" s="3">
        <v>44771</v>
      </c>
      <c r="E33" s="3" t="s">
        <v>181</v>
      </c>
      <c r="F33" s="3" t="s">
        <v>305</v>
      </c>
      <c r="G33" s="23" t="s">
        <v>306</v>
      </c>
      <c r="H33" s="23" t="s">
        <v>181</v>
      </c>
      <c r="I33" s="4">
        <v>459</v>
      </c>
      <c r="J33" s="4" t="s">
        <v>170</v>
      </c>
      <c r="K33" s="4" t="s">
        <v>307</v>
      </c>
      <c r="L33" s="2" t="s">
        <v>78</v>
      </c>
      <c r="M33" s="2"/>
      <c r="N33" s="2" t="s">
        <v>319</v>
      </c>
      <c r="O33" s="105">
        <v>45294</v>
      </c>
      <c r="P33" s="106">
        <v>459</v>
      </c>
      <c r="Q33" s="105">
        <v>45323</v>
      </c>
      <c r="R33" s="106">
        <v>459</v>
      </c>
      <c r="S33" s="105">
        <v>45352</v>
      </c>
      <c r="T33" s="106">
        <v>459</v>
      </c>
      <c r="U33" s="105">
        <v>45385</v>
      </c>
      <c r="V33" s="106">
        <v>459</v>
      </c>
      <c r="W33" s="105">
        <v>45414</v>
      </c>
      <c r="X33" s="106">
        <v>459</v>
      </c>
      <c r="Y33" s="105">
        <v>45448</v>
      </c>
      <c r="Z33" s="106">
        <v>459</v>
      </c>
      <c r="AA33" s="105">
        <v>45475</v>
      </c>
      <c r="AB33" s="106">
        <v>459</v>
      </c>
      <c r="AC33" s="105">
        <v>45505</v>
      </c>
      <c r="AD33" s="106">
        <v>459</v>
      </c>
      <c r="AE33" s="105">
        <v>45538</v>
      </c>
      <c r="AF33" s="106">
        <v>459</v>
      </c>
      <c r="AG33" s="105">
        <v>45567</v>
      </c>
      <c r="AH33" s="106">
        <v>459</v>
      </c>
      <c r="AI33" s="105">
        <v>45597</v>
      </c>
      <c r="AJ33" s="106">
        <v>459</v>
      </c>
      <c r="AK33" s="105">
        <v>45629</v>
      </c>
      <c r="AL33" s="106">
        <v>459</v>
      </c>
    </row>
    <row r="34" spans="1:38" s="1" customFormat="1" hidden="1" x14ac:dyDescent="0.25">
      <c r="A34" s="2">
        <v>25</v>
      </c>
      <c r="B34" s="2" t="s">
        <v>334</v>
      </c>
      <c r="C34" s="2"/>
      <c r="D34" s="3"/>
      <c r="E34" s="3"/>
      <c r="F34" s="3"/>
      <c r="G34" s="23" t="s">
        <v>181</v>
      </c>
      <c r="H34" s="23" t="s">
        <v>181</v>
      </c>
      <c r="I34" s="4"/>
      <c r="J34" s="4"/>
      <c r="K34" s="4"/>
      <c r="L34" s="2"/>
      <c r="M34" s="2"/>
      <c r="N34" s="2" t="s">
        <v>319</v>
      </c>
      <c r="O34" s="105" t="s">
        <v>181</v>
      </c>
      <c r="P34" s="106" t="s">
        <v>181</v>
      </c>
      <c r="Q34" s="105" t="s">
        <v>181</v>
      </c>
      <c r="R34" s="106" t="s">
        <v>181</v>
      </c>
      <c r="S34" s="105" t="s">
        <v>181</v>
      </c>
      <c r="T34" s="106" t="s">
        <v>181</v>
      </c>
      <c r="U34" s="105" t="s">
        <v>181</v>
      </c>
      <c r="V34" s="106" t="s">
        <v>181</v>
      </c>
      <c r="W34" s="105">
        <v>45425</v>
      </c>
      <c r="X34" s="106">
        <v>35.5</v>
      </c>
      <c r="Y34" s="105">
        <v>45444</v>
      </c>
      <c r="Z34" s="106">
        <v>35.5</v>
      </c>
      <c r="AA34" s="105">
        <v>45476</v>
      </c>
      <c r="AB34" s="106">
        <v>35.5</v>
      </c>
      <c r="AC34" s="105">
        <v>45516</v>
      </c>
      <c r="AD34" s="106">
        <v>35.5</v>
      </c>
      <c r="AE34" s="105" t="s">
        <v>181</v>
      </c>
      <c r="AF34" s="106" t="s">
        <v>181</v>
      </c>
      <c r="AG34" s="105" t="s">
        <v>181</v>
      </c>
      <c r="AH34" s="106" t="s">
        <v>181</v>
      </c>
      <c r="AI34" s="105" t="s">
        <v>181</v>
      </c>
      <c r="AJ34" s="106" t="s">
        <v>181</v>
      </c>
      <c r="AK34" s="105" t="s">
        <v>181</v>
      </c>
      <c r="AL34" s="106" t="s">
        <v>181</v>
      </c>
    </row>
    <row r="35" spans="1:38" s="128" customFormat="1" ht="15.75" x14ac:dyDescent="0.25">
      <c r="A35" s="141"/>
      <c r="B35" s="122"/>
      <c r="C35" s="122"/>
      <c r="D35" s="123"/>
      <c r="E35" s="123"/>
      <c r="F35" s="123"/>
      <c r="G35" s="122"/>
      <c r="H35" s="122"/>
      <c r="I35" s="124"/>
      <c r="J35" s="124"/>
      <c r="K35" s="124"/>
      <c r="L35" s="122"/>
      <c r="M35" s="122"/>
      <c r="N35" s="122"/>
      <c r="O35" s="125"/>
      <c r="P35" s="126">
        <f>SUBTOTAL(9,P3:P33)</f>
        <v>30832.940000000002</v>
      </c>
      <c r="Q35" s="125"/>
      <c r="R35" s="126">
        <f>SUBTOTAL(9,R3:R33)</f>
        <v>31097.21</v>
      </c>
      <c r="S35" s="125"/>
      <c r="T35" s="126">
        <f>SUBTOTAL(9,T3:T33)</f>
        <v>35059.160000000003</v>
      </c>
      <c r="U35" s="125"/>
      <c r="V35" s="126">
        <f>SUBTOTAL(9,V3:V33)</f>
        <v>34955.380000000005</v>
      </c>
      <c r="W35" s="125"/>
      <c r="X35" s="126">
        <f>SUBTOTAL(9,X3:X33)</f>
        <v>33336.020000000004</v>
      </c>
      <c r="Y35" s="127"/>
      <c r="Z35" s="126">
        <f>SUBTOTAL(9,Z3:Z33)</f>
        <v>32654.339999999993</v>
      </c>
      <c r="AA35" s="125"/>
      <c r="AB35" s="126">
        <f>SUBTOTAL(9,AB3:AB33)</f>
        <v>29963.640000000003</v>
      </c>
      <c r="AC35" s="125"/>
      <c r="AD35" s="126">
        <f>SUBTOTAL(9,AD3:AD33)</f>
        <v>37535.319999999985</v>
      </c>
      <c r="AE35" s="125"/>
      <c r="AF35" s="126">
        <f>SUBTOTAL(9,AF3:AF33)</f>
        <v>33944.839999999997</v>
      </c>
      <c r="AG35" s="127"/>
      <c r="AH35" s="126">
        <f>SUBTOTAL(9,AH3:AH33)</f>
        <v>33432.209999999992</v>
      </c>
      <c r="AI35" s="127"/>
      <c r="AJ35" s="126">
        <f>SUBTOTAL(9,AJ3:AJ33)</f>
        <v>32869.06</v>
      </c>
      <c r="AK35" s="127"/>
      <c r="AL35" s="126">
        <f>SUBTOTAL(9,AL3:AL33)</f>
        <v>31630.449999999997</v>
      </c>
    </row>
    <row r="36" spans="1:38" s="1" customFormat="1" x14ac:dyDescent="0.25">
      <c r="A36" s="55"/>
      <c r="B36" s="55" t="s">
        <v>61</v>
      </c>
      <c r="C36" s="56"/>
      <c r="D36" s="56"/>
      <c r="E36" s="56"/>
      <c r="F36" s="56"/>
      <c r="G36" s="56"/>
      <c r="H36" s="56"/>
      <c r="I36" s="56"/>
      <c r="J36" s="56"/>
      <c r="K36" s="56"/>
      <c r="L36" s="56" t="s">
        <v>78</v>
      </c>
      <c r="M36" s="56"/>
      <c r="N36" s="56"/>
      <c r="O36" s="57"/>
      <c r="P36" s="58"/>
      <c r="Q36" s="57"/>
      <c r="R36" s="58"/>
      <c r="S36" s="57"/>
      <c r="T36" s="58"/>
      <c r="U36" s="57"/>
      <c r="V36" s="58"/>
      <c r="W36" s="57"/>
      <c r="X36" s="58"/>
      <c r="Y36" s="57"/>
      <c r="Z36" s="58"/>
      <c r="AA36" s="57"/>
      <c r="AB36" s="58"/>
      <c r="AC36" s="57"/>
      <c r="AD36" s="58"/>
      <c r="AE36" s="57"/>
      <c r="AF36" s="58"/>
      <c r="AG36" s="57"/>
      <c r="AH36" s="58"/>
      <c r="AI36" s="57"/>
      <c r="AJ36" s="58"/>
      <c r="AK36" s="57"/>
      <c r="AL36" s="58"/>
    </row>
    <row r="37" spans="1:38" s="1" customFormat="1" x14ac:dyDescent="0.25">
      <c r="A37" s="121"/>
      <c r="B37" s="35" t="s">
        <v>224</v>
      </c>
      <c r="C37" s="36" t="s">
        <v>202</v>
      </c>
      <c r="D37" s="37" t="s">
        <v>181</v>
      </c>
      <c r="E37" s="37" t="s">
        <v>181</v>
      </c>
      <c r="F37" s="37" t="s">
        <v>181</v>
      </c>
      <c r="G37" s="36" t="s">
        <v>181</v>
      </c>
      <c r="H37" s="36" t="s">
        <v>181</v>
      </c>
      <c r="I37" s="38" t="s">
        <v>181</v>
      </c>
      <c r="J37" s="38" t="s">
        <v>181</v>
      </c>
      <c r="K37" s="38" t="s">
        <v>181</v>
      </c>
      <c r="L37" s="2" t="s">
        <v>78</v>
      </c>
      <c r="M37" s="36"/>
      <c r="N37" s="36" t="s">
        <v>181</v>
      </c>
      <c r="O37" s="110" t="s">
        <v>181</v>
      </c>
      <c r="P37" s="111" t="s">
        <v>181</v>
      </c>
      <c r="Q37" s="112" t="s">
        <v>181</v>
      </c>
      <c r="R37" s="111" t="s">
        <v>181</v>
      </c>
      <c r="S37" s="112" t="s">
        <v>181</v>
      </c>
      <c r="T37" s="111" t="s">
        <v>181</v>
      </c>
      <c r="U37" s="113" t="s">
        <v>181</v>
      </c>
      <c r="V37" s="113" t="s">
        <v>181</v>
      </c>
      <c r="W37" s="110" t="s">
        <v>181</v>
      </c>
      <c r="X37" s="113" t="s">
        <v>181</v>
      </c>
      <c r="Y37" s="110" t="s">
        <v>181</v>
      </c>
      <c r="Z37" s="113" t="s">
        <v>181</v>
      </c>
      <c r="AA37" s="110" t="s">
        <v>181</v>
      </c>
      <c r="AB37" s="113" t="s">
        <v>181</v>
      </c>
      <c r="AC37" s="107" t="s">
        <v>181</v>
      </c>
      <c r="AD37" s="113" t="s">
        <v>181</v>
      </c>
      <c r="AE37" s="112" t="s">
        <v>181</v>
      </c>
      <c r="AF37" s="111" t="s">
        <v>181</v>
      </c>
      <c r="AG37" s="112" t="s">
        <v>181</v>
      </c>
      <c r="AH37" s="111" t="s">
        <v>181</v>
      </c>
      <c r="AI37" s="112" t="s">
        <v>181</v>
      </c>
      <c r="AJ37" s="111" t="s">
        <v>181</v>
      </c>
      <c r="AK37" s="112" t="s">
        <v>181</v>
      </c>
      <c r="AL37" s="114" t="s">
        <v>181</v>
      </c>
    </row>
    <row r="38" spans="1:38" s="1" customFormat="1" x14ac:dyDescent="0.25">
      <c r="A38" s="120"/>
      <c r="B38" s="35" t="s">
        <v>274</v>
      </c>
      <c r="C38" s="36" t="s">
        <v>204</v>
      </c>
      <c r="D38" s="37" t="s">
        <v>181</v>
      </c>
      <c r="E38" s="37" t="s">
        <v>181</v>
      </c>
      <c r="F38" s="37" t="s">
        <v>181</v>
      </c>
      <c r="G38" s="36" t="s">
        <v>181</v>
      </c>
      <c r="H38" s="36" t="s">
        <v>181</v>
      </c>
      <c r="I38" s="38" t="s">
        <v>181</v>
      </c>
      <c r="J38" s="38" t="s">
        <v>181</v>
      </c>
      <c r="K38" s="38" t="s">
        <v>181</v>
      </c>
      <c r="L38" s="2" t="s">
        <v>78</v>
      </c>
      <c r="M38" s="36"/>
      <c r="N38" s="36"/>
      <c r="O38" s="110" t="s">
        <v>181</v>
      </c>
      <c r="P38" s="111" t="s">
        <v>181</v>
      </c>
      <c r="Q38" s="112" t="s">
        <v>181</v>
      </c>
      <c r="R38" s="111" t="s">
        <v>181</v>
      </c>
      <c r="S38" s="112" t="s">
        <v>181</v>
      </c>
      <c r="T38" s="111" t="s">
        <v>181</v>
      </c>
      <c r="U38" s="112" t="s">
        <v>181</v>
      </c>
      <c r="V38" s="111" t="s">
        <v>181</v>
      </c>
      <c r="W38" s="110" t="s">
        <v>181</v>
      </c>
      <c r="X38" s="111" t="s">
        <v>181</v>
      </c>
      <c r="Y38" s="110" t="s">
        <v>181</v>
      </c>
      <c r="Z38" s="111" t="s">
        <v>181</v>
      </c>
      <c r="AA38" s="110" t="s">
        <v>181</v>
      </c>
      <c r="AB38" s="111" t="s">
        <v>181</v>
      </c>
      <c r="AC38" s="107" t="s">
        <v>181</v>
      </c>
      <c r="AD38" s="111" t="s">
        <v>181</v>
      </c>
      <c r="AE38" s="112" t="s">
        <v>181</v>
      </c>
      <c r="AF38" s="111" t="s">
        <v>181</v>
      </c>
      <c r="AG38" s="112" t="s">
        <v>181</v>
      </c>
      <c r="AH38" s="111" t="s">
        <v>181</v>
      </c>
      <c r="AI38" s="112" t="s">
        <v>181</v>
      </c>
      <c r="AJ38" s="111" t="s">
        <v>181</v>
      </c>
      <c r="AK38" s="112" t="s">
        <v>181</v>
      </c>
      <c r="AL38" s="114" t="s">
        <v>181</v>
      </c>
    </row>
    <row r="39" spans="1:38" s="1" customFormat="1" x14ac:dyDescent="0.25">
      <c r="A39" s="120"/>
      <c r="B39" s="35" t="s">
        <v>300</v>
      </c>
      <c r="C39" s="36" t="s">
        <v>301</v>
      </c>
      <c r="D39" s="37" t="s">
        <v>181</v>
      </c>
      <c r="E39" s="37" t="s">
        <v>181</v>
      </c>
      <c r="F39" s="37" t="s">
        <v>181</v>
      </c>
      <c r="G39" s="36" t="s">
        <v>181</v>
      </c>
      <c r="H39" s="36" t="s">
        <v>181</v>
      </c>
      <c r="I39" s="38" t="s">
        <v>181</v>
      </c>
      <c r="J39" s="38" t="s">
        <v>181</v>
      </c>
      <c r="K39" s="38" t="s">
        <v>181</v>
      </c>
      <c r="L39" s="2" t="s">
        <v>78</v>
      </c>
      <c r="M39" s="36" t="s">
        <v>181</v>
      </c>
      <c r="N39" s="36" t="s">
        <v>181</v>
      </c>
      <c r="O39" s="110" t="s">
        <v>181</v>
      </c>
      <c r="P39" s="111" t="s">
        <v>181</v>
      </c>
      <c r="Q39" s="112" t="s">
        <v>181</v>
      </c>
      <c r="R39" s="111" t="s">
        <v>181</v>
      </c>
      <c r="S39" s="112" t="s">
        <v>181</v>
      </c>
      <c r="T39" s="111" t="s">
        <v>181</v>
      </c>
      <c r="U39" s="112" t="s">
        <v>181</v>
      </c>
      <c r="V39" s="111" t="s">
        <v>181</v>
      </c>
      <c r="W39" s="110" t="s">
        <v>181</v>
      </c>
      <c r="X39" s="111" t="s">
        <v>181</v>
      </c>
      <c r="Y39" s="110" t="s">
        <v>181</v>
      </c>
      <c r="Z39" s="111" t="s">
        <v>181</v>
      </c>
      <c r="AA39" s="110" t="s">
        <v>181</v>
      </c>
      <c r="AB39" s="111" t="s">
        <v>181</v>
      </c>
      <c r="AC39" s="107" t="s">
        <v>181</v>
      </c>
      <c r="AD39" s="111" t="s">
        <v>181</v>
      </c>
      <c r="AE39" s="112" t="s">
        <v>181</v>
      </c>
      <c r="AF39" s="111" t="s">
        <v>181</v>
      </c>
      <c r="AG39" s="112" t="s">
        <v>181</v>
      </c>
      <c r="AH39" s="111" t="s">
        <v>181</v>
      </c>
      <c r="AI39" s="112" t="s">
        <v>181</v>
      </c>
      <c r="AJ39" s="111" t="s">
        <v>181</v>
      </c>
      <c r="AK39" s="112" t="s">
        <v>181</v>
      </c>
      <c r="AL39" s="114" t="s">
        <v>181</v>
      </c>
    </row>
    <row r="40" spans="1:38" s="139" customFormat="1" ht="15.75" x14ac:dyDescent="0.25">
      <c r="A40" s="142"/>
      <c r="B40" s="129"/>
      <c r="C40" s="130"/>
      <c r="D40" s="131"/>
      <c r="E40" s="131"/>
      <c r="F40" s="132"/>
      <c r="G40" s="133"/>
      <c r="H40" s="133"/>
      <c r="I40" s="134"/>
      <c r="J40" s="134"/>
      <c r="K40" s="134"/>
      <c r="L40" s="122"/>
      <c r="M40" s="130"/>
      <c r="N40" s="130"/>
      <c r="O40" s="135"/>
      <c r="P40" s="136">
        <f>SUBTOTAL(9,P37:P39)</f>
        <v>0</v>
      </c>
      <c r="Q40" s="132"/>
      <c r="R40" s="136">
        <f>SUBTOTAL(9,R37:R39)</f>
        <v>0</v>
      </c>
      <c r="S40" s="136"/>
      <c r="T40" s="136">
        <f>SUBTOTAL(9,T37:T39)</f>
        <v>0</v>
      </c>
      <c r="U40" s="38" t="s">
        <v>181</v>
      </c>
      <c r="V40" s="136">
        <f>SUBTOTAL(9,V37:V39)</f>
        <v>0</v>
      </c>
      <c r="W40" s="136"/>
      <c r="X40" s="136">
        <f>SUBTOTAL(9,X37:X39)</f>
        <v>0</v>
      </c>
      <c r="Y40" s="136"/>
      <c r="Z40" s="136">
        <f>SUBTOTAL(9,Z37:Z39)</f>
        <v>0</v>
      </c>
      <c r="AA40" s="136"/>
      <c r="AB40" s="136">
        <f>SUBTOTAL(9,AB37:AB39)</f>
        <v>0</v>
      </c>
      <c r="AC40" s="136"/>
      <c r="AD40" s="136">
        <f>SUBTOTAL(9,AD37:AD39)</f>
        <v>0</v>
      </c>
      <c r="AE40" s="136"/>
      <c r="AF40" s="136">
        <f>SUBTOTAL(9,AF37:AF39)</f>
        <v>0</v>
      </c>
      <c r="AG40" s="136"/>
      <c r="AH40" s="136">
        <f>SUBTOTAL(9,AH37:AH39)</f>
        <v>0</v>
      </c>
      <c r="AI40" s="136"/>
      <c r="AJ40" s="136">
        <f>SUBTOTAL(9,AJ37:AJ39)</f>
        <v>0</v>
      </c>
      <c r="AK40" s="136"/>
      <c r="AL40" s="136">
        <f>SUBTOTAL(9,AL37:AL39)</f>
        <v>0</v>
      </c>
    </row>
    <row r="41" spans="1:38" s="128" customFormat="1" ht="15.75" x14ac:dyDescent="0.25">
      <c r="A41" s="140"/>
      <c r="B41" s="156" t="s">
        <v>152</v>
      </c>
      <c r="C41" s="157"/>
      <c r="D41" s="158"/>
      <c r="E41" s="158"/>
      <c r="F41" s="158"/>
      <c r="G41" s="157"/>
      <c r="H41" s="157"/>
      <c r="I41" s="159"/>
      <c r="J41" s="159"/>
      <c r="K41" s="159"/>
      <c r="L41" s="157"/>
      <c r="M41" s="157"/>
      <c r="N41" s="157"/>
      <c r="O41" s="158"/>
      <c r="P41" s="159">
        <f>SUBTOTAL(9,P3:P40)</f>
        <v>30832.940000000002</v>
      </c>
      <c r="Q41" s="158"/>
      <c r="R41" s="159">
        <f>SUBTOTAL(9,R3:R40)</f>
        <v>31097.21</v>
      </c>
      <c r="S41" s="158"/>
      <c r="T41" s="159">
        <f>SUBTOTAL(9,T3:T40)</f>
        <v>35059.160000000003</v>
      </c>
      <c r="U41" s="158"/>
      <c r="V41" s="159">
        <f>SUBTOTAL(9,V3:V40)</f>
        <v>34955.380000000005</v>
      </c>
      <c r="W41" s="158"/>
      <c r="X41" s="159">
        <f>SUBTOTAL(9,X3:X40)</f>
        <v>33336.020000000004</v>
      </c>
      <c r="Y41" s="158"/>
      <c r="Z41" s="159">
        <f>SUBTOTAL(109,Tabela14567891011[Valor8])</f>
        <v>32654.339999999993</v>
      </c>
      <c r="AA41" s="158"/>
      <c r="AB41" s="159">
        <f>SUBTOTAL(109,Tabela14567891011[Valor9])</f>
        <v>29963.640000000003</v>
      </c>
      <c r="AC41" s="160"/>
      <c r="AD41" s="159">
        <f>SUBTOTAL(109,Tabela14567891011[Valor10])</f>
        <v>37535.319999999985</v>
      </c>
      <c r="AE41" s="158"/>
      <c r="AF41" s="159">
        <f>SUBTOTAL(109,Tabela14567891011[Valor11])</f>
        <v>33944.839999999997</v>
      </c>
      <c r="AG41" s="158"/>
      <c r="AH41" s="159">
        <f>SUBTOTAL(109,Tabela14567891011[Valor12])</f>
        <v>33432.209999999992</v>
      </c>
      <c r="AI41" s="158"/>
      <c r="AJ41" s="159">
        <f>SUBTOTAL(109,Tabela14567891011[Valor14])</f>
        <v>32869.06</v>
      </c>
      <c r="AK41" s="158"/>
      <c r="AL41" s="161">
        <f>SUBTOTAL(109,Tabela14567891011[Valor2])</f>
        <v>31630.449999999997</v>
      </c>
    </row>
    <row r="46" spans="1:38" x14ac:dyDescent="0.25">
      <c r="X46" s="101"/>
    </row>
    <row r="49" spans="32:32" x14ac:dyDescent="0.25">
      <c r="AF49" s="154"/>
    </row>
  </sheetData>
  <mergeCells count="14">
    <mergeCell ref="U1:V1"/>
    <mergeCell ref="D1:F1"/>
    <mergeCell ref="K1:L1"/>
    <mergeCell ref="O1:P1"/>
    <mergeCell ref="Q1:R1"/>
    <mergeCell ref="S1:T1"/>
    <mergeCell ref="AI1:AJ1"/>
    <mergeCell ref="AK1:AL1"/>
    <mergeCell ref="W1:X1"/>
    <mergeCell ref="Y1:Z1"/>
    <mergeCell ref="AA1:AB1"/>
    <mergeCell ref="AC1:AD1"/>
    <mergeCell ref="AE1:AF1"/>
    <mergeCell ref="AG1:AH1"/>
  </mergeCells>
  <conditionalFormatting sqref="N7:N8 N10:N11 N13:N14">
    <cfRule type="cellIs" dxfId="42" priority="1" operator="equal">
      <formula>"OK"</formula>
    </cfRule>
    <cfRule type="cellIs" dxfId="41" priority="2" operator="equal">
      <formula>"Vencido"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33" orientation="landscape" r:id="rId1"/>
  <legacy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M50"/>
  <sheetViews>
    <sheetView zoomScale="90" zoomScaleNormal="90" workbookViewId="0">
      <pane xSplit="14" ySplit="1" topLeftCell="AE2" activePane="bottomRight" state="frozen"/>
      <selection pane="topRight" activeCell="O1" sqref="O1"/>
      <selection pane="bottomLeft" activeCell="A2" sqref="A2"/>
      <selection pane="bottomRight" activeCell="AM32" sqref="AM32"/>
    </sheetView>
  </sheetViews>
  <sheetFormatPr defaultColWidth="9.140625" defaultRowHeight="15" outlineLevelCol="1" x14ac:dyDescent="0.25"/>
  <cols>
    <col min="1" max="1" width="5.140625" style="100" bestFit="1" customWidth="1"/>
    <col min="2" max="2" width="33.5703125" style="100" customWidth="1"/>
    <col min="3" max="3" width="51.28515625" style="100" hidden="1" customWidth="1" outlineLevel="1"/>
    <col min="4" max="4" width="22.28515625" style="100" hidden="1" customWidth="1" outlineLevel="1"/>
    <col min="5" max="5" width="19.28515625" style="100" hidden="1" customWidth="1" outlineLevel="1"/>
    <col min="6" max="6" width="15.140625" style="100" hidden="1" customWidth="1" outlineLevel="1"/>
    <col min="7" max="7" width="23" style="100" bestFit="1" customWidth="1" collapsed="1"/>
    <col min="8" max="8" width="18.140625" style="100" bestFit="1" customWidth="1"/>
    <col min="9" max="9" width="16.140625" style="100" customWidth="1"/>
    <col min="10" max="10" width="26.140625" style="100" customWidth="1"/>
    <col min="11" max="11" width="47.5703125" style="100" hidden="1" customWidth="1" outlineLevel="1"/>
    <col min="12" max="12" width="17" style="100" hidden="1" customWidth="1" outlineLevel="1"/>
    <col min="13" max="13" width="19.5703125" style="100" hidden="1" customWidth="1" outlineLevel="1"/>
    <col min="14" max="14" width="16.140625" style="100" bestFit="1" customWidth="1" collapsed="1"/>
    <col min="15" max="15" width="11.5703125" style="100" customWidth="1"/>
    <col min="16" max="16" width="15.28515625" style="100" bestFit="1" customWidth="1"/>
    <col min="17" max="17" width="11.5703125" style="100" customWidth="1"/>
    <col min="18" max="18" width="15.28515625" style="100" bestFit="1" customWidth="1"/>
    <col min="19" max="19" width="14.42578125" style="100" bestFit="1" customWidth="1"/>
    <col min="20" max="20" width="15.28515625" style="100" bestFit="1" customWidth="1"/>
    <col min="21" max="21" width="15" style="100" customWidth="1"/>
    <col min="22" max="22" width="16.140625" style="100" bestFit="1" customWidth="1"/>
    <col min="23" max="23" width="14.42578125" style="100" bestFit="1" customWidth="1"/>
    <col min="24" max="24" width="16.140625" style="100" bestFit="1" customWidth="1"/>
    <col min="25" max="25" width="11.5703125" style="100" bestFit="1" customWidth="1"/>
    <col min="26" max="26" width="15.28515625" style="100" bestFit="1" customWidth="1"/>
    <col min="27" max="27" width="11.5703125" style="100" customWidth="1"/>
    <col min="28" max="28" width="15.28515625" style="100" bestFit="1" customWidth="1"/>
    <col min="29" max="29" width="11.5703125" style="100" customWidth="1"/>
    <col min="30" max="30" width="15.28515625" style="100" bestFit="1" customWidth="1"/>
    <col min="31" max="31" width="12.5703125" style="100" bestFit="1" customWidth="1"/>
    <col min="32" max="32" width="15.28515625" style="100" bestFit="1" customWidth="1"/>
    <col min="33" max="33" width="12.5703125" style="100" customWidth="1"/>
    <col min="34" max="34" width="15.28515625" style="100" bestFit="1" customWidth="1"/>
    <col min="35" max="35" width="12.5703125" style="100" customWidth="1"/>
    <col min="36" max="36" width="15" style="100" bestFit="1" customWidth="1"/>
    <col min="37" max="37" width="12.5703125" style="100" bestFit="1" customWidth="1"/>
    <col min="38" max="38" width="14.7109375" style="100" customWidth="1"/>
    <col min="39" max="39" width="15.5703125" style="100" bestFit="1" customWidth="1"/>
    <col min="40" max="16384" width="9.140625" style="100"/>
  </cols>
  <sheetData>
    <row r="1" spans="1:38" s="1" customFormat="1" ht="15" customHeight="1" x14ac:dyDescent="0.25">
      <c r="A1" s="143" t="s">
        <v>60</v>
      </c>
      <c r="B1" s="143"/>
      <c r="C1" s="144"/>
      <c r="D1" s="170"/>
      <c r="E1" s="170"/>
      <c r="F1" s="171"/>
      <c r="G1" s="69"/>
      <c r="H1" s="70"/>
      <c r="I1" s="69"/>
      <c r="J1" s="69"/>
      <c r="K1" s="70"/>
      <c r="L1" s="70"/>
      <c r="M1" s="62"/>
      <c r="N1" s="62"/>
      <c r="O1" s="170">
        <v>45658</v>
      </c>
      <c r="P1" s="171"/>
      <c r="Q1" s="172">
        <v>45689</v>
      </c>
      <c r="R1" s="173"/>
      <c r="S1" s="170">
        <v>45717</v>
      </c>
      <c r="T1" s="171"/>
      <c r="U1" s="172">
        <v>45748</v>
      </c>
      <c r="V1" s="173"/>
      <c r="W1" s="170">
        <v>45778</v>
      </c>
      <c r="X1" s="171"/>
      <c r="Y1" s="170">
        <v>45809</v>
      </c>
      <c r="Z1" s="171"/>
      <c r="AA1" s="172">
        <v>45839</v>
      </c>
      <c r="AB1" s="173"/>
      <c r="AC1" s="170">
        <v>45870</v>
      </c>
      <c r="AD1" s="171"/>
      <c r="AE1" s="172">
        <v>45901</v>
      </c>
      <c r="AF1" s="173"/>
      <c r="AG1" s="170">
        <v>45931</v>
      </c>
      <c r="AH1" s="171"/>
      <c r="AI1" s="170">
        <v>45962</v>
      </c>
      <c r="AJ1" s="171"/>
      <c r="AK1" s="172">
        <v>45992</v>
      </c>
      <c r="AL1" s="173"/>
    </row>
    <row r="2" spans="1:38" s="13" customFormat="1" ht="30" x14ac:dyDescent="0.25">
      <c r="A2" s="118" t="s">
        <v>276</v>
      </c>
      <c r="B2" s="11" t="s">
        <v>0</v>
      </c>
      <c r="C2" s="43" t="s">
        <v>5</v>
      </c>
      <c r="D2" s="45" t="s">
        <v>3</v>
      </c>
      <c r="E2" s="66" t="s">
        <v>209</v>
      </c>
      <c r="F2" s="45" t="s">
        <v>1</v>
      </c>
      <c r="G2" s="43" t="s">
        <v>8</v>
      </c>
      <c r="H2" s="43" t="s">
        <v>2</v>
      </c>
      <c r="I2" s="44" t="s">
        <v>79</v>
      </c>
      <c r="J2" s="59" t="s">
        <v>186</v>
      </c>
      <c r="K2" s="44" t="s">
        <v>107</v>
      </c>
      <c r="L2" s="43" t="s">
        <v>19</v>
      </c>
      <c r="M2" s="43" t="s">
        <v>105</v>
      </c>
      <c r="N2" s="11" t="s">
        <v>317</v>
      </c>
      <c r="O2" s="45" t="s">
        <v>115</v>
      </c>
      <c r="P2" s="46" t="s">
        <v>116</v>
      </c>
      <c r="Q2" s="45" t="s">
        <v>117</v>
      </c>
      <c r="R2" s="46" t="s">
        <v>118</v>
      </c>
      <c r="S2" s="45" t="s">
        <v>119</v>
      </c>
      <c r="T2" s="46" t="s">
        <v>120</v>
      </c>
      <c r="U2" s="45" t="s">
        <v>121</v>
      </c>
      <c r="V2" s="46" t="s">
        <v>122</v>
      </c>
      <c r="W2" s="45" t="s">
        <v>123</v>
      </c>
      <c r="X2" s="46" t="s">
        <v>124</v>
      </c>
      <c r="Y2" s="45" t="s">
        <v>125</v>
      </c>
      <c r="Z2" s="46" t="s">
        <v>126</v>
      </c>
      <c r="AA2" s="45" t="s">
        <v>127</v>
      </c>
      <c r="AB2" s="46" t="s">
        <v>128</v>
      </c>
      <c r="AC2" s="45" t="s">
        <v>129</v>
      </c>
      <c r="AD2" s="46" t="s">
        <v>130</v>
      </c>
      <c r="AE2" s="45" t="s">
        <v>131</v>
      </c>
      <c r="AF2" s="46" t="s">
        <v>132</v>
      </c>
      <c r="AG2" s="45" t="s">
        <v>133</v>
      </c>
      <c r="AH2" s="46" t="s">
        <v>134</v>
      </c>
      <c r="AI2" s="45" t="s">
        <v>135</v>
      </c>
      <c r="AJ2" s="46" t="s">
        <v>137</v>
      </c>
      <c r="AK2" s="45" t="s">
        <v>136</v>
      </c>
      <c r="AL2" s="46" t="s">
        <v>138</v>
      </c>
    </row>
    <row r="3" spans="1:38" s="1" customFormat="1" x14ac:dyDescent="0.25">
      <c r="A3" s="119">
        <v>1</v>
      </c>
      <c r="B3" s="25" t="s">
        <v>9</v>
      </c>
      <c r="C3" s="25" t="s">
        <v>262</v>
      </c>
      <c r="D3" s="26">
        <v>41644</v>
      </c>
      <c r="E3" s="26">
        <v>42008</v>
      </c>
      <c r="F3" s="26" t="s">
        <v>6</v>
      </c>
      <c r="G3" s="25" t="s">
        <v>89</v>
      </c>
      <c r="H3" s="25" t="s">
        <v>7</v>
      </c>
      <c r="I3" s="27" t="s">
        <v>139</v>
      </c>
      <c r="J3" s="27" t="s">
        <v>185</v>
      </c>
      <c r="K3" s="27" t="s">
        <v>145</v>
      </c>
      <c r="L3" s="25" t="s">
        <v>78</v>
      </c>
      <c r="M3" s="25" t="s">
        <v>184</v>
      </c>
      <c r="N3" s="25" t="s">
        <v>318</v>
      </c>
      <c r="O3" s="105">
        <v>45658</v>
      </c>
      <c r="P3" s="106">
        <v>6867</v>
      </c>
      <c r="Q3" s="105">
        <v>45693</v>
      </c>
      <c r="R3" s="106">
        <v>10242.700000000001</v>
      </c>
      <c r="S3" s="105">
        <v>45722</v>
      </c>
      <c r="T3" s="106">
        <v>8830.39</v>
      </c>
      <c r="U3" s="105">
        <v>45749</v>
      </c>
      <c r="V3" s="106">
        <v>10335.19</v>
      </c>
      <c r="W3" s="105">
        <v>45782</v>
      </c>
      <c r="X3" s="106">
        <v>9203.67</v>
      </c>
      <c r="Y3" s="105">
        <v>45812</v>
      </c>
      <c r="Z3" s="106">
        <v>5522.27</v>
      </c>
      <c r="AA3" s="105">
        <v>45810</v>
      </c>
      <c r="AB3" s="106">
        <v>3531.66</v>
      </c>
      <c r="AC3" s="105">
        <v>45874</v>
      </c>
      <c r="AD3" s="106">
        <v>5008.8599999999997</v>
      </c>
      <c r="AE3" s="105">
        <v>45902</v>
      </c>
      <c r="AF3" s="106">
        <v>4465.95</v>
      </c>
      <c r="AG3" s="105">
        <v>45933</v>
      </c>
      <c r="AH3" s="106">
        <v>5048.34</v>
      </c>
      <c r="AI3" s="105">
        <v>45965</v>
      </c>
      <c r="AJ3" s="106">
        <v>6325.18</v>
      </c>
      <c r="AK3" s="105">
        <v>45994</v>
      </c>
      <c r="AL3" s="106">
        <v>4803.8</v>
      </c>
    </row>
    <row r="4" spans="1:38" s="1" customFormat="1" x14ac:dyDescent="0.25">
      <c r="A4" s="25">
        <v>2</v>
      </c>
      <c r="B4" s="25" t="s">
        <v>24</v>
      </c>
      <c r="C4" s="25" t="s">
        <v>263</v>
      </c>
      <c r="D4" s="26">
        <v>43102</v>
      </c>
      <c r="E4" s="162" t="s">
        <v>341</v>
      </c>
      <c r="F4" s="3" t="s">
        <v>13</v>
      </c>
      <c r="G4" s="25" t="s">
        <v>89</v>
      </c>
      <c r="H4" s="25" t="s">
        <v>7</v>
      </c>
      <c r="I4" s="106">
        <v>713.4</v>
      </c>
      <c r="J4" s="27" t="s">
        <v>188</v>
      </c>
      <c r="K4" s="27" t="s">
        <v>141</v>
      </c>
      <c r="L4" s="25" t="s">
        <v>78</v>
      </c>
      <c r="M4" s="25"/>
      <c r="N4" s="25" t="s">
        <v>319</v>
      </c>
      <c r="O4" s="105">
        <v>45670</v>
      </c>
      <c r="P4" s="106">
        <v>713.4</v>
      </c>
      <c r="Q4" s="105">
        <v>45695</v>
      </c>
      <c r="R4" s="106">
        <v>713.4</v>
      </c>
      <c r="S4" s="105">
        <v>45735</v>
      </c>
      <c r="T4" s="106">
        <v>713.4</v>
      </c>
      <c r="U4" s="105">
        <v>45756</v>
      </c>
      <c r="V4" s="106">
        <v>713.4</v>
      </c>
      <c r="W4" s="105">
        <v>45785</v>
      </c>
      <c r="X4" s="106">
        <v>713.4</v>
      </c>
      <c r="Y4" s="105">
        <v>45818</v>
      </c>
      <c r="Z4" s="106">
        <v>713.4</v>
      </c>
      <c r="AA4" s="105">
        <v>45847</v>
      </c>
      <c r="AB4" s="106">
        <v>713.4</v>
      </c>
      <c r="AC4" s="105">
        <v>45875</v>
      </c>
      <c r="AD4" s="106">
        <v>713.4</v>
      </c>
      <c r="AE4" s="105">
        <v>45905</v>
      </c>
      <c r="AF4" s="106">
        <v>713.4</v>
      </c>
      <c r="AG4" s="105">
        <v>45933</v>
      </c>
      <c r="AH4" s="106">
        <v>713.4</v>
      </c>
      <c r="AI4" s="105">
        <v>45967</v>
      </c>
      <c r="AJ4" s="106">
        <v>713.4</v>
      </c>
      <c r="AK4" s="105">
        <v>46010</v>
      </c>
      <c r="AL4" s="106">
        <v>713.4</v>
      </c>
    </row>
    <row r="5" spans="1:38" s="1" customFormat="1" x14ac:dyDescent="0.25">
      <c r="A5" s="165">
        <v>3</v>
      </c>
      <c r="B5" s="25" t="s">
        <v>31</v>
      </c>
      <c r="C5" s="25" t="s">
        <v>32</v>
      </c>
      <c r="D5" s="26">
        <v>40568</v>
      </c>
      <c r="E5" s="26">
        <v>43102</v>
      </c>
      <c r="F5" s="26" t="s">
        <v>33</v>
      </c>
      <c r="G5" s="25" t="s">
        <v>89</v>
      </c>
      <c r="H5" s="25" t="s">
        <v>7</v>
      </c>
      <c r="I5" s="106">
        <v>1810.88</v>
      </c>
      <c r="J5" s="27" t="s">
        <v>189</v>
      </c>
      <c r="K5" s="27" t="s">
        <v>110</v>
      </c>
      <c r="L5" s="25" t="s">
        <v>78</v>
      </c>
      <c r="M5" s="25"/>
      <c r="N5" s="25" t="s">
        <v>319</v>
      </c>
      <c r="O5" s="105">
        <v>45659</v>
      </c>
      <c r="P5" s="106">
        <v>1810.88</v>
      </c>
      <c r="Q5" s="105">
        <v>45691</v>
      </c>
      <c r="R5" s="106">
        <v>1810.88</v>
      </c>
      <c r="S5" s="105">
        <v>45722</v>
      </c>
      <c r="T5" s="106">
        <v>1810.88</v>
      </c>
      <c r="U5" s="105">
        <v>45749</v>
      </c>
      <c r="V5" s="106">
        <v>1810.88</v>
      </c>
      <c r="W5" s="105">
        <v>45782</v>
      </c>
      <c r="X5" s="106">
        <v>1812.88</v>
      </c>
      <c r="Y5" s="105">
        <v>45813</v>
      </c>
      <c r="Z5" s="106">
        <v>1812.88</v>
      </c>
      <c r="AA5" s="105">
        <v>45841</v>
      </c>
      <c r="AB5" s="106">
        <v>1812.88</v>
      </c>
      <c r="AC5" s="105">
        <v>45873</v>
      </c>
      <c r="AD5" s="106">
        <v>1812.88</v>
      </c>
      <c r="AE5" s="105">
        <v>45909</v>
      </c>
      <c r="AF5" s="106">
        <v>1812.88</v>
      </c>
      <c r="AG5" s="105">
        <v>45936</v>
      </c>
      <c r="AH5" s="106">
        <v>1812.88</v>
      </c>
      <c r="AI5" s="105">
        <v>45967</v>
      </c>
      <c r="AJ5" s="106">
        <v>1901.88</v>
      </c>
      <c r="AK5" s="105">
        <v>45993</v>
      </c>
      <c r="AL5" s="106">
        <v>1806.79</v>
      </c>
    </row>
    <row r="6" spans="1:38" s="1" customFormat="1" ht="15.75" thickBot="1" x14ac:dyDescent="0.3">
      <c r="A6" s="166">
        <v>4</v>
      </c>
      <c r="B6" s="25" t="s">
        <v>42</v>
      </c>
      <c r="C6" s="25" t="s">
        <v>214</v>
      </c>
      <c r="D6" s="26">
        <v>43040</v>
      </c>
      <c r="E6" s="26">
        <v>43119</v>
      </c>
      <c r="F6" s="26" t="s">
        <v>28</v>
      </c>
      <c r="G6" s="25" t="s">
        <v>89</v>
      </c>
      <c r="H6" s="25" t="s">
        <v>7</v>
      </c>
      <c r="I6" s="106">
        <v>997.15</v>
      </c>
      <c r="J6" s="27" t="s">
        <v>190</v>
      </c>
      <c r="K6" s="27" t="s">
        <v>141</v>
      </c>
      <c r="L6" s="25" t="s">
        <v>78</v>
      </c>
      <c r="M6" s="25"/>
      <c r="N6" s="25" t="s">
        <v>319</v>
      </c>
      <c r="O6" s="105">
        <v>45673</v>
      </c>
      <c r="P6" s="106">
        <v>997.15</v>
      </c>
      <c r="Q6" s="105">
        <v>45701</v>
      </c>
      <c r="R6" s="106">
        <v>997.15</v>
      </c>
      <c r="S6" s="105">
        <v>45734</v>
      </c>
      <c r="T6" s="106">
        <v>997.15</v>
      </c>
      <c r="U6" s="105">
        <v>45754</v>
      </c>
      <c r="V6" s="106">
        <v>997.15</v>
      </c>
      <c r="W6" s="105">
        <v>45784</v>
      </c>
      <c r="X6" s="106">
        <v>997.15</v>
      </c>
      <c r="Y6" s="105">
        <v>45812</v>
      </c>
      <c r="Z6" s="106">
        <v>997.15</v>
      </c>
      <c r="AA6" s="105">
        <v>45842</v>
      </c>
      <c r="AB6" s="106">
        <v>997.15</v>
      </c>
      <c r="AC6" s="105">
        <v>45874</v>
      </c>
      <c r="AD6" s="106">
        <v>997.15</v>
      </c>
      <c r="AE6" s="105">
        <v>45908</v>
      </c>
      <c r="AF6" s="106">
        <v>997.15</v>
      </c>
      <c r="AG6" s="105">
        <v>45937</v>
      </c>
      <c r="AH6" s="106">
        <v>997.15</v>
      </c>
      <c r="AI6" s="105">
        <v>45971</v>
      </c>
      <c r="AJ6" s="106">
        <v>1048.7</v>
      </c>
      <c r="AK6" s="152">
        <v>46001</v>
      </c>
      <c r="AL6" s="106">
        <v>1048.7</v>
      </c>
    </row>
    <row r="7" spans="1:38" s="1" customFormat="1" x14ac:dyDescent="0.25">
      <c r="A7" s="165" t="s">
        <v>347</v>
      </c>
      <c r="B7" s="25" t="s">
        <v>212</v>
      </c>
      <c r="C7" s="25"/>
      <c r="D7" s="26"/>
      <c r="E7" s="26" t="s">
        <v>181</v>
      </c>
      <c r="F7" s="71" t="s">
        <v>181</v>
      </c>
      <c r="G7" s="79" t="s">
        <v>218</v>
      </c>
      <c r="H7" s="80">
        <v>46327</v>
      </c>
      <c r="I7" s="106" t="s">
        <v>181</v>
      </c>
      <c r="J7" s="27"/>
      <c r="K7" s="27"/>
      <c r="L7" s="25" t="s">
        <v>78</v>
      </c>
      <c r="M7" s="25"/>
      <c r="N7" s="25" t="str">
        <f ca="1">IF($H7&lt;TODAY(),"Vencido","OK")</f>
        <v>OK</v>
      </c>
      <c r="O7" s="105" t="s">
        <v>181</v>
      </c>
      <c r="P7" s="106" t="s">
        <v>181</v>
      </c>
      <c r="Q7" s="105" t="s">
        <v>181</v>
      </c>
      <c r="R7" s="106" t="s">
        <v>181</v>
      </c>
      <c r="S7" s="105" t="s">
        <v>181</v>
      </c>
      <c r="T7" s="106" t="s">
        <v>181</v>
      </c>
      <c r="U7" s="105" t="s">
        <v>181</v>
      </c>
      <c r="V7" s="106" t="s">
        <v>181</v>
      </c>
      <c r="W7" s="105" t="s">
        <v>181</v>
      </c>
      <c r="X7" s="106" t="s">
        <v>181</v>
      </c>
      <c r="Y7" s="105" t="s">
        <v>181</v>
      </c>
      <c r="Z7" s="106" t="s">
        <v>181</v>
      </c>
      <c r="AA7" s="105" t="s">
        <v>181</v>
      </c>
      <c r="AB7" s="106" t="s">
        <v>181</v>
      </c>
      <c r="AC7" s="105" t="s">
        <v>181</v>
      </c>
      <c r="AD7" s="106" t="s">
        <v>181</v>
      </c>
      <c r="AE7" s="105" t="s">
        <v>181</v>
      </c>
      <c r="AF7" s="106" t="s">
        <v>181</v>
      </c>
      <c r="AG7" s="105" t="s">
        <v>181</v>
      </c>
      <c r="AH7" s="106" t="s">
        <v>181</v>
      </c>
      <c r="AI7" s="105" t="s">
        <v>181</v>
      </c>
      <c r="AJ7" s="106" t="s">
        <v>181</v>
      </c>
      <c r="AK7" s="105" t="s">
        <v>181</v>
      </c>
      <c r="AL7" s="106" t="s">
        <v>181</v>
      </c>
    </row>
    <row r="8" spans="1:38" s="1" customFormat="1" ht="15.75" thickBot="1" x14ac:dyDescent="0.3">
      <c r="A8" s="166" t="s">
        <v>348</v>
      </c>
      <c r="B8" s="25" t="s">
        <v>213</v>
      </c>
      <c r="C8" s="25"/>
      <c r="D8" s="26"/>
      <c r="E8" s="26" t="s">
        <v>181</v>
      </c>
      <c r="F8" s="71" t="s">
        <v>181</v>
      </c>
      <c r="G8" s="76" t="s">
        <v>218</v>
      </c>
      <c r="H8" s="77">
        <v>46327</v>
      </c>
      <c r="I8" s="106" t="s">
        <v>181</v>
      </c>
      <c r="J8" s="27"/>
      <c r="K8" s="27"/>
      <c r="L8" s="25" t="s">
        <v>78</v>
      </c>
      <c r="M8" s="25"/>
      <c r="N8" s="25" t="str">
        <f ca="1">IF($H8&lt;TODAY(),"Vencido","OK")</f>
        <v>OK</v>
      </c>
      <c r="O8" s="105" t="s">
        <v>181</v>
      </c>
      <c r="P8" s="106" t="s">
        <v>181</v>
      </c>
      <c r="Q8" s="105" t="s">
        <v>181</v>
      </c>
      <c r="R8" s="106" t="s">
        <v>181</v>
      </c>
      <c r="S8" s="105" t="s">
        <v>181</v>
      </c>
      <c r="T8" s="106" t="s">
        <v>181</v>
      </c>
      <c r="U8" s="105" t="s">
        <v>181</v>
      </c>
      <c r="V8" s="106" t="s">
        <v>181</v>
      </c>
      <c r="W8" s="105" t="s">
        <v>181</v>
      </c>
      <c r="X8" s="106" t="s">
        <v>181</v>
      </c>
      <c r="Y8" s="105" t="s">
        <v>181</v>
      </c>
      <c r="Z8" s="106" t="s">
        <v>181</v>
      </c>
      <c r="AA8" s="105" t="s">
        <v>181</v>
      </c>
      <c r="AB8" s="106" t="s">
        <v>181</v>
      </c>
      <c r="AC8" s="105" t="s">
        <v>181</v>
      </c>
      <c r="AD8" s="106" t="s">
        <v>181</v>
      </c>
      <c r="AE8" s="105" t="s">
        <v>181</v>
      </c>
      <c r="AF8" s="106" t="s">
        <v>181</v>
      </c>
      <c r="AG8" s="105" t="s">
        <v>181</v>
      </c>
      <c r="AH8" s="106" t="s">
        <v>181</v>
      </c>
      <c r="AI8" s="105" t="s">
        <v>181</v>
      </c>
      <c r="AJ8" s="106" t="s">
        <v>181</v>
      </c>
      <c r="AK8" s="105" t="s">
        <v>181</v>
      </c>
      <c r="AL8" s="106" t="s">
        <v>181</v>
      </c>
    </row>
    <row r="9" spans="1:38" s="1" customFormat="1" ht="15.75" thickBot="1" x14ac:dyDescent="0.3">
      <c r="A9" s="165">
        <v>5</v>
      </c>
      <c r="B9" s="25" t="s">
        <v>323</v>
      </c>
      <c r="C9" s="25" t="s">
        <v>232</v>
      </c>
      <c r="D9" s="26">
        <v>43616</v>
      </c>
      <c r="E9" s="26">
        <v>45173</v>
      </c>
      <c r="F9" s="71" t="s">
        <v>13</v>
      </c>
      <c r="G9" s="91" t="s">
        <v>89</v>
      </c>
      <c r="H9" s="92" t="s">
        <v>7</v>
      </c>
      <c r="I9" s="106">
        <v>691.24</v>
      </c>
      <c r="J9" s="27" t="s">
        <v>324</v>
      </c>
      <c r="K9" s="27" t="s">
        <v>145</v>
      </c>
      <c r="L9" s="25" t="s">
        <v>78</v>
      </c>
      <c r="M9" s="25"/>
      <c r="N9" s="25" t="s">
        <v>319</v>
      </c>
      <c r="O9" s="105">
        <v>45660</v>
      </c>
      <c r="P9" s="106">
        <v>691.24</v>
      </c>
      <c r="Q9" s="105">
        <v>45692</v>
      </c>
      <c r="R9" s="106">
        <v>691.24</v>
      </c>
      <c r="S9" s="105">
        <v>45722</v>
      </c>
      <c r="T9" s="106">
        <v>691.24</v>
      </c>
      <c r="U9" s="105">
        <v>45749</v>
      </c>
      <c r="V9" s="106">
        <v>691.24</v>
      </c>
      <c r="W9" s="105">
        <v>45782</v>
      </c>
      <c r="X9" s="106">
        <v>691.24</v>
      </c>
      <c r="Y9" s="105">
        <v>45810</v>
      </c>
      <c r="Z9" s="106">
        <v>691.24</v>
      </c>
      <c r="AA9" s="105">
        <v>45840</v>
      </c>
      <c r="AB9" s="106">
        <v>691.24</v>
      </c>
      <c r="AC9" s="105">
        <v>45870</v>
      </c>
      <c r="AD9" s="106">
        <v>691.24</v>
      </c>
      <c r="AE9" s="105">
        <v>45901</v>
      </c>
      <c r="AF9" s="106">
        <v>691.24</v>
      </c>
      <c r="AG9" s="105">
        <v>45931</v>
      </c>
      <c r="AH9" s="106">
        <v>712.18</v>
      </c>
      <c r="AI9" s="105">
        <v>45965</v>
      </c>
      <c r="AJ9" s="106">
        <v>815.21</v>
      </c>
      <c r="AK9" s="105">
        <v>45993</v>
      </c>
      <c r="AL9" s="106">
        <v>712.18</v>
      </c>
    </row>
    <row r="10" spans="1:38" s="1" customFormat="1" x14ac:dyDescent="0.25">
      <c r="A10" s="166" t="s">
        <v>349</v>
      </c>
      <c r="B10" s="25" t="s">
        <v>212</v>
      </c>
      <c r="C10" s="25"/>
      <c r="D10" s="26"/>
      <c r="E10" s="26" t="s">
        <v>181</v>
      </c>
      <c r="F10" s="71" t="s">
        <v>181</v>
      </c>
      <c r="G10" s="79" t="s">
        <v>218</v>
      </c>
      <c r="H10" s="80">
        <v>46277</v>
      </c>
      <c r="I10" s="106" t="s">
        <v>181</v>
      </c>
      <c r="J10" s="27"/>
      <c r="K10" s="27"/>
      <c r="L10" s="25" t="s">
        <v>78</v>
      </c>
      <c r="M10" s="25"/>
      <c r="N10" s="25" t="str">
        <f ca="1">IF($H10&lt;TODAY(),"Vencido","OK")</f>
        <v>OK</v>
      </c>
      <c r="O10" s="105" t="s">
        <v>181</v>
      </c>
      <c r="P10" s="106" t="s">
        <v>181</v>
      </c>
      <c r="Q10" s="105" t="s">
        <v>181</v>
      </c>
      <c r="R10" s="106" t="s">
        <v>181</v>
      </c>
      <c r="S10" s="105" t="s">
        <v>181</v>
      </c>
      <c r="T10" s="106" t="s">
        <v>181</v>
      </c>
      <c r="U10" s="105" t="s">
        <v>181</v>
      </c>
      <c r="V10" s="106" t="s">
        <v>181</v>
      </c>
      <c r="W10" s="105" t="s">
        <v>181</v>
      </c>
      <c r="X10" s="106" t="s">
        <v>181</v>
      </c>
      <c r="Y10" s="105" t="s">
        <v>181</v>
      </c>
      <c r="Z10" s="106" t="s">
        <v>181</v>
      </c>
      <c r="AA10" s="105" t="s">
        <v>181</v>
      </c>
      <c r="AB10" s="106" t="s">
        <v>181</v>
      </c>
      <c r="AC10" s="105" t="s">
        <v>181</v>
      </c>
      <c r="AD10" s="106" t="s">
        <v>181</v>
      </c>
      <c r="AE10" s="105" t="s">
        <v>181</v>
      </c>
      <c r="AF10" s="106" t="s">
        <v>181</v>
      </c>
      <c r="AG10" s="105" t="s">
        <v>181</v>
      </c>
      <c r="AH10" s="106" t="s">
        <v>181</v>
      </c>
      <c r="AI10" s="105" t="s">
        <v>181</v>
      </c>
      <c r="AJ10" s="106" t="s">
        <v>181</v>
      </c>
      <c r="AK10" s="105" t="s">
        <v>181</v>
      </c>
      <c r="AL10" s="106" t="s">
        <v>181</v>
      </c>
    </row>
    <row r="11" spans="1:38" s="1" customFormat="1" ht="15.75" thickBot="1" x14ac:dyDescent="0.3">
      <c r="A11" s="165" t="s">
        <v>350</v>
      </c>
      <c r="B11" s="25" t="s">
        <v>213</v>
      </c>
      <c r="C11" s="25"/>
      <c r="D11" s="26"/>
      <c r="E11" s="26" t="s">
        <v>181</v>
      </c>
      <c r="F11" s="71" t="s">
        <v>181</v>
      </c>
      <c r="G11" s="76" t="s">
        <v>218</v>
      </c>
      <c r="H11" s="77">
        <v>46277</v>
      </c>
      <c r="I11" s="106" t="s">
        <v>181</v>
      </c>
      <c r="J11" s="27"/>
      <c r="K11" s="27"/>
      <c r="L11" s="25" t="s">
        <v>78</v>
      </c>
      <c r="M11" s="25"/>
      <c r="N11" s="25" t="str">
        <f ca="1">IF($H11&lt;TODAY(),"Vencido","OK")</f>
        <v>OK</v>
      </c>
      <c r="O11" s="105" t="s">
        <v>181</v>
      </c>
      <c r="P11" s="106" t="s">
        <v>181</v>
      </c>
      <c r="Q11" s="105" t="s">
        <v>181</v>
      </c>
      <c r="R11" s="106" t="s">
        <v>181</v>
      </c>
      <c r="S11" s="105" t="s">
        <v>181</v>
      </c>
      <c r="T11" s="106" t="s">
        <v>181</v>
      </c>
      <c r="U11" s="105" t="s">
        <v>181</v>
      </c>
      <c r="V11" s="106" t="s">
        <v>181</v>
      </c>
      <c r="W11" s="105" t="s">
        <v>181</v>
      </c>
      <c r="X11" s="106" t="s">
        <v>181</v>
      </c>
      <c r="Y11" s="105" t="s">
        <v>181</v>
      </c>
      <c r="Z11" s="106" t="s">
        <v>181</v>
      </c>
      <c r="AA11" s="105" t="s">
        <v>181</v>
      </c>
      <c r="AB11" s="106" t="s">
        <v>181</v>
      </c>
      <c r="AC11" s="105" t="s">
        <v>181</v>
      </c>
      <c r="AD11" s="106" t="s">
        <v>181</v>
      </c>
      <c r="AE11" s="105" t="s">
        <v>181</v>
      </c>
      <c r="AF11" s="106" t="s">
        <v>181</v>
      </c>
      <c r="AG11" s="105" t="s">
        <v>181</v>
      </c>
      <c r="AH11" s="106" t="s">
        <v>181</v>
      </c>
      <c r="AI11" s="105" t="s">
        <v>181</v>
      </c>
      <c r="AJ11" s="106" t="s">
        <v>181</v>
      </c>
      <c r="AK11" s="105" t="s">
        <v>181</v>
      </c>
      <c r="AL11" s="106" t="s">
        <v>181</v>
      </c>
    </row>
    <row r="12" spans="1:38" s="1" customFormat="1" ht="15.75" thickBot="1" x14ac:dyDescent="0.3">
      <c r="A12" s="166">
        <v>6</v>
      </c>
      <c r="B12" s="25" t="s">
        <v>44</v>
      </c>
      <c r="C12" s="25" t="s">
        <v>86</v>
      </c>
      <c r="D12" s="26">
        <v>38979</v>
      </c>
      <c r="E12" s="162" t="s">
        <v>341</v>
      </c>
      <c r="F12" s="26" t="s">
        <v>6</v>
      </c>
      <c r="G12" s="73" t="s">
        <v>89</v>
      </c>
      <c r="H12" s="73" t="s">
        <v>211</v>
      </c>
      <c r="I12" s="106">
        <v>2120.87</v>
      </c>
      <c r="J12" s="27" t="s">
        <v>330</v>
      </c>
      <c r="K12" s="27" t="s">
        <v>110</v>
      </c>
      <c r="L12" s="25" t="s">
        <v>78</v>
      </c>
      <c r="M12" s="25"/>
      <c r="N12" s="25" t="s">
        <v>319</v>
      </c>
      <c r="O12" s="105">
        <v>45660</v>
      </c>
      <c r="P12" s="106">
        <v>2059.17</v>
      </c>
      <c r="Q12" s="105">
        <v>45693</v>
      </c>
      <c r="R12" s="106">
        <v>2059.17</v>
      </c>
      <c r="S12" s="105">
        <v>45721</v>
      </c>
      <c r="T12" s="106">
        <v>2059.17</v>
      </c>
      <c r="U12" s="105">
        <v>45750</v>
      </c>
      <c r="V12" s="106">
        <v>2059.17</v>
      </c>
      <c r="W12" s="105">
        <v>45783</v>
      </c>
      <c r="X12" s="106">
        <v>2059.17</v>
      </c>
      <c r="Y12" s="105">
        <v>45812</v>
      </c>
      <c r="Z12" s="106">
        <v>2059.17</v>
      </c>
      <c r="AA12" s="105">
        <v>45841</v>
      </c>
      <c r="AB12" s="106">
        <v>2059.17</v>
      </c>
      <c r="AC12" s="105">
        <v>45870</v>
      </c>
      <c r="AD12" s="106">
        <v>2059.17</v>
      </c>
      <c r="AE12" s="105">
        <v>45911</v>
      </c>
      <c r="AF12" s="106">
        <v>2120.87</v>
      </c>
      <c r="AG12" s="105">
        <v>45933</v>
      </c>
      <c r="AH12" s="106">
        <v>2120.87</v>
      </c>
      <c r="AI12" s="105">
        <v>45966</v>
      </c>
      <c r="AJ12" s="106">
        <v>2120.87</v>
      </c>
      <c r="AK12" s="105">
        <v>45999</v>
      </c>
      <c r="AL12" s="106">
        <v>2022.24</v>
      </c>
    </row>
    <row r="13" spans="1:38" s="1" customFormat="1" x14ac:dyDescent="0.25">
      <c r="A13" s="165" t="s">
        <v>351</v>
      </c>
      <c r="B13" s="25" t="s">
        <v>212</v>
      </c>
      <c r="C13" s="25"/>
      <c r="D13" s="26"/>
      <c r="E13" s="26" t="s">
        <v>181</v>
      </c>
      <c r="F13" s="71" t="s">
        <v>181</v>
      </c>
      <c r="G13" s="74" t="s">
        <v>218</v>
      </c>
      <c r="H13" s="75">
        <v>46266</v>
      </c>
      <c r="I13" s="106" t="s">
        <v>181</v>
      </c>
      <c r="J13" s="27"/>
      <c r="K13" s="27"/>
      <c r="L13" s="25" t="s">
        <v>78</v>
      </c>
      <c r="M13" s="25"/>
      <c r="N13" s="25" t="str">
        <f ca="1">IF($H13&lt;TODAY(),"Vencido","OK")</f>
        <v>OK</v>
      </c>
      <c r="O13" s="105" t="s">
        <v>181</v>
      </c>
      <c r="P13" s="106" t="s">
        <v>181</v>
      </c>
      <c r="Q13" s="105" t="s">
        <v>181</v>
      </c>
      <c r="R13" s="106" t="s">
        <v>181</v>
      </c>
      <c r="S13" s="105" t="s">
        <v>181</v>
      </c>
      <c r="T13" s="106" t="s">
        <v>181</v>
      </c>
      <c r="U13" s="105" t="s">
        <v>181</v>
      </c>
      <c r="V13" s="106" t="s">
        <v>181</v>
      </c>
      <c r="W13" s="105" t="s">
        <v>181</v>
      </c>
      <c r="X13" s="106" t="s">
        <v>181</v>
      </c>
      <c r="Y13" s="105" t="s">
        <v>181</v>
      </c>
      <c r="Z13" s="106" t="s">
        <v>181</v>
      </c>
      <c r="AA13" s="105" t="s">
        <v>181</v>
      </c>
      <c r="AB13" s="106" t="s">
        <v>181</v>
      </c>
      <c r="AC13" s="105" t="s">
        <v>181</v>
      </c>
      <c r="AD13" s="106" t="s">
        <v>181</v>
      </c>
      <c r="AE13" s="105" t="s">
        <v>181</v>
      </c>
      <c r="AF13" s="106" t="s">
        <v>181</v>
      </c>
      <c r="AG13" s="105" t="s">
        <v>181</v>
      </c>
      <c r="AH13" s="106" t="s">
        <v>181</v>
      </c>
      <c r="AI13" s="105" t="s">
        <v>181</v>
      </c>
      <c r="AJ13" s="106" t="s">
        <v>181</v>
      </c>
      <c r="AK13" s="105" t="s">
        <v>181</v>
      </c>
      <c r="AL13" s="106" t="s">
        <v>181</v>
      </c>
    </row>
    <row r="14" spans="1:38" s="1" customFormat="1" ht="15.75" thickBot="1" x14ac:dyDescent="0.3">
      <c r="A14" s="166" t="s">
        <v>352</v>
      </c>
      <c r="B14" s="25" t="s">
        <v>213</v>
      </c>
      <c r="C14" s="25"/>
      <c r="D14" s="26"/>
      <c r="E14" s="26" t="s">
        <v>181</v>
      </c>
      <c r="F14" s="71" t="s">
        <v>181</v>
      </c>
      <c r="G14" s="76" t="s">
        <v>218</v>
      </c>
      <c r="H14" s="77">
        <v>46266</v>
      </c>
      <c r="I14" s="106" t="s">
        <v>181</v>
      </c>
      <c r="J14" s="27"/>
      <c r="K14" s="27"/>
      <c r="L14" s="25" t="s">
        <v>78</v>
      </c>
      <c r="M14" s="25"/>
      <c r="N14" s="25" t="str">
        <f ca="1">IF($H14&lt;TODAY(),"Vencido","OK")</f>
        <v>OK</v>
      </c>
      <c r="O14" s="105" t="s">
        <v>181</v>
      </c>
      <c r="P14" s="106" t="s">
        <v>181</v>
      </c>
      <c r="Q14" s="105" t="s">
        <v>181</v>
      </c>
      <c r="R14" s="106" t="s">
        <v>181</v>
      </c>
      <c r="S14" s="105" t="s">
        <v>181</v>
      </c>
      <c r="T14" s="106" t="s">
        <v>181</v>
      </c>
      <c r="U14" s="105" t="s">
        <v>181</v>
      </c>
      <c r="V14" s="106" t="s">
        <v>181</v>
      </c>
      <c r="W14" s="105" t="s">
        <v>181</v>
      </c>
      <c r="X14" s="106" t="s">
        <v>181</v>
      </c>
      <c r="Y14" s="105" t="s">
        <v>181</v>
      </c>
      <c r="Z14" s="106" t="s">
        <v>181</v>
      </c>
      <c r="AA14" s="105" t="s">
        <v>181</v>
      </c>
      <c r="AB14" s="106" t="s">
        <v>181</v>
      </c>
      <c r="AC14" s="105" t="s">
        <v>181</v>
      </c>
      <c r="AD14" s="106" t="s">
        <v>181</v>
      </c>
      <c r="AE14" s="105" t="s">
        <v>181</v>
      </c>
      <c r="AF14" s="106" t="s">
        <v>181</v>
      </c>
      <c r="AG14" s="105" t="s">
        <v>181</v>
      </c>
      <c r="AH14" s="106" t="s">
        <v>181</v>
      </c>
      <c r="AI14" s="105" t="s">
        <v>181</v>
      </c>
      <c r="AJ14" s="106" t="s">
        <v>181</v>
      </c>
      <c r="AK14" s="105" t="s">
        <v>181</v>
      </c>
      <c r="AL14" s="106" t="s">
        <v>181</v>
      </c>
    </row>
    <row r="15" spans="1:38" s="1" customFormat="1" x14ac:dyDescent="0.25">
      <c r="A15" s="165">
        <v>7</v>
      </c>
      <c r="B15" s="25" t="s">
        <v>230</v>
      </c>
      <c r="C15" s="25" t="s">
        <v>264</v>
      </c>
      <c r="D15" s="26">
        <v>43115</v>
      </c>
      <c r="E15" s="26">
        <v>44344</v>
      </c>
      <c r="F15" s="71" t="s">
        <v>13</v>
      </c>
      <c r="G15" s="25" t="s">
        <v>217</v>
      </c>
      <c r="H15" s="25" t="s">
        <v>7</v>
      </c>
      <c r="I15" s="106">
        <v>2750</v>
      </c>
      <c r="J15" s="27" t="s">
        <v>191</v>
      </c>
      <c r="K15" s="27" t="s">
        <v>140</v>
      </c>
      <c r="L15" s="25" t="s">
        <v>78</v>
      </c>
      <c r="M15" s="25"/>
      <c r="N15" s="25" t="s">
        <v>319</v>
      </c>
      <c r="O15" s="105">
        <v>45670</v>
      </c>
      <c r="P15" s="106">
        <v>2750</v>
      </c>
      <c r="Q15" s="105">
        <v>45691</v>
      </c>
      <c r="R15" s="106">
        <v>2750</v>
      </c>
      <c r="S15" s="105">
        <v>45722</v>
      </c>
      <c r="T15" s="106">
        <v>2750</v>
      </c>
      <c r="U15" s="105">
        <v>45761</v>
      </c>
      <c r="V15" s="106">
        <v>2750</v>
      </c>
      <c r="W15" s="105">
        <v>45782</v>
      </c>
      <c r="X15" s="106">
        <v>2750</v>
      </c>
      <c r="Y15" s="105">
        <v>45817</v>
      </c>
      <c r="Z15" s="106">
        <v>2750</v>
      </c>
      <c r="AA15" s="105">
        <v>45845</v>
      </c>
      <c r="AB15" s="106">
        <v>2750</v>
      </c>
      <c r="AC15" s="105">
        <v>45874</v>
      </c>
      <c r="AD15" s="106">
        <v>2750</v>
      </c>
      <c r="AE15" s="105">
        <v>45905</v>
      </c>
      <c r="AF15" s="106">
        <v>2750</v>
      </c>
      <c r="AG15" s="105">
        <v>45932</v>
      </c>
      <c r="AH15" s="106">
        <v>2750</v>
      </c>
      <c r="AI15" s="105">
        <v>45973</v>
      </c>
      <c r="AJ15" s="106">
        <v>2750</v>
      </c>
      <c r="AK15" s="105">
        <v>46001</v>
      </c>
      <c r="AL15" s="106">
        <v>2750</v>
      </c>
    </row>
    <row r="16" spans="1:38" s="1" customFormat="1" x14ac:dyDescent="0.25">
      <c r="A16" s="25">
        <v>8</v>
      </c>
      <c r="B16" s="25" t="s">
        <v>265</v>
      </c>
      <c r="C16" s="25" t="s">
        <v>268</v>
      </c>
      <c r="D16" s="26">
        <v>43446</v>
      </c>
      <c r="E16" s="26">
        <v>45551</v>
      </c>
      <c r="F16" s="26" t="s">
        <v>28</v>
      </c>
      <c r="G16" s="25" t="s">
        <v>217</v>
      </c>
      <c r="H16" s="73" t="s">
        <v>211</v>
      </c>
      <c r="I16" s="106">
        <v>1009.75</v>
      </c>
      <c r="J16" s="27" t="s">
        <v>267</v>
      </c>
      <c r="K16" s="27" t="s">
        <v>111</v>
      </c>
      <c r="L16" s="25" t="s">
        <v>78</v>
      </c>
      <c r="M16" s="25"/>
      <c r="N16" s="25" t="s">
        <v>319</v>
      </c>
      <c r="O16" s="105">
        <v>45673</v>
      </c>
      <c r="P16" s="106">
        <v>980</v>
      </c>
      <c r="Q16" s="105">
        <v>45702</v>
      </c>
      <c r="R16" s="106">
        <v>980</v>
      </c>
      <c r="S16" s="105">
        <v>45734</v>
      </c>
      <c r="T16" s="106">
        <v>980</v>
      </c>
      <c r="U16" s="105">
        <v>45762</v>
      </c>
      <c r="V16" s="106">
        <v>974.56</v>
      </c>
      <c r="W16" s="105">
        <v>45793</v>
      </c>
      <c r="X16" s="106">
        <v>980</v>
      </c>
      <c r="Y16" s="105">
        <v>45824</v>
      </c>
      <c r="Z16" s="106">
        <v>980</v>
      </c>
      <c r="AA16" s="105">
        <v>45853</v>
      </c>
      <c r="AB16" s="106">
        <v>980</v>
      </c>
      <c r="AC16" s="105">
        <v>45882</v>
      </c>
      <c r="AD16" s="106">
        <v>980</v>
      </c>
      <c r="AE16" s="105">
        <v>45910</v>
      </c>
      <c r="AF16" s="106">
        <v>1009.75</v>
      </c>
      <c r="AG16" s="105">
        <v>45944</v>
      </c>
      <c r="AH16" s="106">
        <v>1009.75</v>
      </c>
      <c r="AI16" s="105">
        <v>45975</v>
      </c>
      <c r="AJ16" s="106">
        <v>1009.75</v>
      </c>
      <c r="AK16" s="105">
        <v>46003</v>
      </c>
      <c r="AL16" s="106">
        <v>1009.75</v>
      </c>
    </row>
    <row r="17" spans="1:38" s="1" customFormat="1" x14ac:dyDescent="0.25">
      <c r="A17" s="155">
        <v>9</v>
      </c>
      <c r="B17" s="2" t="s">
        <v>343</v>
      </c>
      <c r="C17" s="2" t="s">
        <v>344</v>
      </c>
      <c r="D17" s="3">
        <v>41459</v>
      </c>
      <c r="E17" s="162" t="s">
        <v>341</v>
      </c>
      <c r="F17" s="3" t="s">
        <v>6</v>
      </c>
      <c r="G17" s="2" t="s">
        <v>6</v>
      </c>
      <c r="H17" s="2" t="s">
        <v>341</v>
      </c>
      <c r="I17" s="152" t="s">
        <v>321</v>
      </c>
      <c r="J17" s="4" t="s">
        <v>193</v>
      </c>
      <c r="K17" s="4" t="s">
        <v>147</v>
      </c>
      <c r="L17" s="2" t="s">
        <v>78</v>
      </c>
      <c r="M17" s="68" t="s">
        <v>215</v>
      </c>
      <c r="N17" s="68" t="s">
        <v>318</v>
      </c>
      <c r="O17" s="152" t="s">
        <v>321</v>
      </c>
      <c r="P17" s="152" t="s">
        <v>321</v>
      </c>
      <c r="Q17" s="152" t="s">
        <v>321</v>
      </c>
      <c r="R17" s="152" t="s">
        <v>321</v>
      </c>
      <c r="S17" s="152" t="s">
        <v>321</v>
      </c>
      <c r="T17" s="152" t="s">
        <v>321</v>
      </c>
      <c r="U17" s="152" t="s">
        <v>321</v>
      </c>
      <c r="V17" s="152" t="s">
        <v>321</v>
      </c>
      <c r="W17" s="152" t="s">
        <v>321</v>
      </c>
      <c r="X17" s="152" t="s">
        <v>321</v>
      </c>
      <c r="Y17" s="152" t="s">
        <v>321</v>
      </c>
      <c r="Z17" s="152" t="s">
        <v>321</v>
      </c>
      <c r="AA17" s="152" t="s">
        <v>321</v>
      </c>
      <c r="AB17" s="152" t="s">
        <v>321</v>
      </c>
      <c r="AC17" s="152" t="s">
        <v>321</v>
      </c>
      <c r="AD17" s="152" t="s">
        <v>321</v>
      </c>
      <c r="AE17" s="152" t="s">
        <v>321</v>
      </c>
      <c r="AF17" s="152" t="s">
        <v>321</v>
      </c>
      <c r="AG17" s="152" t="s">
        <v>321</v>
      </c>
      <c r="AH17" s="152" t="s">
        <v>321</v>
      </c>
      <c r="AI17" s="152" t="s">
        <v>321</v>
      </c>
      <c r="AJ17" s="152" t="s">
        <v>321</v>
      </c>
      <c r="AK17" s="152" t="s">
        <v>321</v>
      </c>
      <c r="AL17" s="152" t="s">
        <v>321</v>
      </c>
    </row>
    <row r="18" spans="1:38" s="1" customFormat="1" x14ac:dyDescent="0.25">
      <c r="A18" s="2">
        <v>10</v>
      </c>
      <c r="B18" s="2" t="s">
        <v>150</v>
      </c>
      <c r="C18" s="2" t="s">
        <v>151</v>
      </c>
      <c r="D18" s="3">
        <v>43060</v>
      </c>
      <c r="E18" s="26">
        <v>44635</v>
      </c>
      <c r="F18" s="3" t="s">
        <v>28</v>
      </c>
      <c r="G18" s="25" t="s">
        <v>89</v>
      </c>
      <c r="H18" s="2" t="s">
        <v>15</v>
      </c>
      <c r="I18" s="106">
        <v>7739.63</v>
      </c>
      <c r="J18" s="27" t="s">
        <v>194</v>
      </c>
      <c r="K18" s="27" t="s">
        <v>110</v>
      </c>
      <c r="L18" s="2" t="s">
        <v>78</v>
      </c>
      <c r="M18" s="2"/>
      <c r="N18" s="2" t="s">
        <v>319</v>
      </c>
      <c r="O18" s="105">
        <v>45658</v>
      </c>
      <c r="P18" s="106">
        <v>7739.63</v>
      </c>
      <c r="Q18" s="105">
        <v>45691</v>
      </c>
      <c r="R18" s="106">
        <v>7739.63</v>
      </c>
      <c r="S18" s="105">
        <v>45722</v>
      </c>
      <c r="T18" s="106">
        <v>7739.63</v>
      </c>
      <c r="U18" s="105">
        <v>45748</v>
      </c>
      <c r="V18" s="106">
        <v>7739.63</v>
      </c>
      <c r="W18" s="105">
        <v>45778</v>
      </c>
      <c r="X18" s="106">
        <v>7739.63</v>
      </c>
      <c r="Y18" s="105">
        <v>45810</v>
      </c>
      <c r="Z18" s="106">
        <v>7739.63</v>
      </c>
      <c r="AA18" s="105">
        <v>45839</v>
      </c>
      <c r="AB18" s="106">
        <v>7739.63</v>
      </c>
      <c r="AC18" s="105">
        <v>45870</v>
      </c>
      <c r="AD18" s="106">
        <v>7739.63</v>
      </c>
      <c r="AE18" s="105">
        <v>45901</v>
      </c>
      <c r="AF18" s="106">
        <v>7739.63</v>
      </c>
      <c r="AG18" s="105">
        <v>45931</v>
      </c>
      <c r="AH18" s="106">
        <v>7739.63</v>
      </c>
      <c r="AI18" s="105">
        <v>45964</v>
      </c>
      <c r="AJ18" s="106">
        <v>7739.63</v>
      </c>
      <c r="AK18" s="105">
        <v>46000</v>
      </c>
      <c r="AL18" s="106">
        <v>7739.63</v>
      </c>
    </row>
    <row r="19" spans="1:38" s="1" customFormat="1" x14ac:dyDescent="0.25">
      <c r="A19" s="155">
        <v>11</v>
      </c>
      <c r="B19" s="2" t="s">
        <v>331</v>
      </c>
      <c r="C19" s="2" t="s">
        <v>332</v>
      </c>
      <c r="D19" s="26">
        <v>45260</v>
      </c>
      <c r="E19" s="162" t="s">
        <v>341</v>
      </c>
      <c r="F19" s="3" t="s">
        <v>28</v>
      </c>
      <c r="G19" s="25" t="s">
        <v>217</v>
      </c>
      <c r="H19" s="73" t="s">
        <v>211</v>
      </c>
      <c r="I19" s="106">
        <v>576.44000000000005</v>
      </c>
      <c r="J19" s="27" t="s">
        <v>345</v>
      </c>
      <c r="K19" s="27" t="s">
        <v>335</v>
      </c>
      <c r="L19" s="2" t="s">
        <v>78</v>
      </c>
      <c r="M19" s="2"/>
      <c r="N19" s="2" t="s">
        <v>319</v>
      </c>
      <c r="O19" s="105">
        <v>45665</v>
      </c>
      <c r="P19" s="106">
        <v>540</v>
      </c>
      <c r="Q19" s="105">
        <v>45695</v>
      </c>
      <c r="R19" s="106">
        <v>576.44000000000005</v>
      </c>
      <c r="S19" s="105">
        <v>45723</v>
      </c>
      <c r="T19" s="106">
        <v>576.44000000000005</v>
      </c>
      <c r="U19" s="105">
        <v>45755</v>
      </c>
      <c r="V19" s="106">
        <v>576.44000000000005</v>
      </c>
      <c r="W19" s="105">
        <v>45791</v>
      </c>
      <c r="X19" s="106">
        <v>576.44000000000005</v>
      </c>
      <c r="Y19" s="105">
        <v>45818</v>
      </c>
      <c r="Z19" s="106">
        <v>576.44000000000005</v>
      </c>
      <c r="AA19" s="105">
        <v>45849</v>
      </c>
      <c r="AB19" s="106">
        <v>576.44000000000005</v>
      </c>
      <c r="AC19" s="105">
        <v>45875</v>
      </c>
      <c r="AD19" s="106">
        <v>576.44000000000005</v>
      </c>
      <c r="AE19" s="105">
        <v>45908</v>
      </c>
      <c r="AF19" s="106">
        <v>576.44000000000005</v>
      </c>
      <c r="AG19" s="105">
        <v>45938</v>
      </c>
      <c r="AH19" s="106">
        <v>576.44000000000005</v>
      </c>
      <c r="AI19" s="105">
        <v>45968</v>
      </c>
      <c r="AJ19" s="106">
        <v>576.44000000000005</v>
      </c>
      <c r="AK19" s="105">
        <v>46000</v>
      </c>
      <c r="AL19" s="106">
        <v>576.44000000000005</v>
      </c>
    </row>
    <row r="20" spans="1:38" s="1" customFormat="1" x14ac:dyDescent="0.25">
      <c r="A20" s="2">
        <v>12</v>
      </c>
      <c r="B20" s="2" t="s">
        <v>37</v>
      </c>
      <c r="C20" s="2" t="s">
        <v>357</v>
      </c>
      <c r="D20" s="3">
        <v>34719</v>
      </c>
      <c r="E20" s="115" t="s">
        <v>342</v>
      </c>
      <c r="F20" s="3" t="s">
        <v>341</v>
      </c>
      <c r="G20" s="68" t="s">
        <v>277</v>
      </c>
      <c r="H20" s="2" t="s">
        <v>15</v>
      </c>
      <c r="I20" s="106" t="s">
        <v>139</v>
      </c>
      <c r="J20" s="4" t="s">
        <v>195</v>
      </c>
      <c r="K20" s="4" t="s">
        <v>170</v>
      </c>
      <c r="L20" s="2" t="s">
        <v>78</v>
      </c>
      <c r="M20" s="2"/>
      <c r="N20" s="2" t="s">
        <v>320</v>
      </c>
      <c r="O20" s="105" t="s">
        <v>181</v>
      </c>
      <c r="P20" s="106" t="s">
        <v>181</v>
      </c>
      <c r="Q20" s="105" t="s">
        <v>181</v>
      </c>
      <c r="R20" s="106" t="s">
        <v>181</v>
      </c>
      <c r="S20" s="105" t="s">
        <v>181</v>
      </c>
      <c r="T20" s="106" t="s">
        <v>181</v>
      </c>
      <c r="U20" s="105" t="s">
        <v>181</v>
      </c>
      <c r="V20" s="106" t="s">
        <v>181</v>
      </c>
      <c r="W20" s="105">
        <v>45771</v>
      </c>
      <c r="X20" s="153" t="s">
        <v>354</v>
      </c>
      <c r="Y20" s="105">
        <v>45803</v>
      </c>
      <c r="Z20" s="153" t="s">
        <v>354</v>
      </c>
      <c r="AA20" s="105">
        <v>45834</v>
      </c>
      <c r="AB20" s="153" t="s">
        <v>354</v>
      </c>
      <c r="AC20" s="105">
        <v>45858</v>
      </c>
      <c r="AD20" s="106" t="s">
        <v>364</v>
      </c>
      <c r="AE20" s="105">
        <v>45896</v>
      </c>
      <c r="AF20" s="106" t="s">
        <v>364</v>
      </c>
      <c r="AG20" s="105">
        <v>45928</v>
      </c>
      <c r="AH20" s="106" t="s">
        <v>364</v>
      </c>
      <c r="AI20" s="105">
        <v>45927</v>
      </c>
      <c r="AJ20" s="106" t="s">
        <v>364</v>
      </c>
      <c r="AK20" s="105">
        <v>45686</v>
      </c>
      <c r="AL20" s="106" t="s">
        <v>364</v>
      </c>
    </row>
    <row r="21" spans="1:38" s="1" customFormat="1" x14ac:dyDescent="0.25">
      <c r="A21" s="155">
        <v>13</v>
      </c>
      <c r="B21" s="2" t="s">
        <v>353</v>
      </c>
      <c r="C21" s="2" t="s">
        <v>358</v>
      </c>
      <c r="D21" s="3" t="s">
        <v>181</v>
      </c>
      <c r="E21" s="163" t="s">
        <v>341</v>
      </c>
      <c r="F21" s="3" t="s">
        <v>341</v>
      </c>
      <c r="G21" s="68" t="s">
        <v>277</v>
      </c>
      <c r="H21" s="2" t="s">
        <v>15</v>
      </c>
      <c r="I21" s="106" t="s">
        <v>139</v>
      </c>
      <c r="J21" s="4" t="s">
        <v>198</v>
      </c>
      <c r="K21" s="4" t="s">
        <v>170</v>
      </c>
      <c r="L21" s="2" t="s">
        <v>78</v>
      </c>
      <c r="M21" s="2"/>
      <c r="N21" s="2" t="s">
        <v>320</v>
      </c>
      <c r="O21" s="105" t="s">
        <v>181</v>
      </c>
      <c r="P21" s="106" t="s">
        <v>181</v>
      </c>
      <c r="Q21" s="105" t="s">
        <v>181</v>
      </c>
      <c r="R21" s="106" t="s">
        <v>181</v>
      </c>
      <c r="S21" s="105" t="s">
        <v>181</v>
      </c>
      <c r="T21" s="106" t="s">
        <v>181</v>
      </c>
      <c r="U21" s="105" t="s">
        <v>181</v>
      </c>
      <c r="V21" s="106" t="s">
        <v>181</v>
      </c>
      <c r="W21" s="105">
        <v>45771</v>
      </c>
      <c r="X21" s="153" t="s">
        <v>354</v>
      </c>
      <c r="Y21" s="105">
        <v>45803</v>
      </c>
      <c r="Z21" s="153" t="s">
        <v>354</v>
      </c>
      <c r="AA21" s="105">
        <v>45838</v>
      </c>
      <c r="AB21" s="153" t="s">
        <v>354</v>
      </c>
      <c r="AC21" s="105">
        <v>45858</v>
      </c>
      <c r="AD21" s="106" t="s">
        <v>364</v>
      </c>
      <c r="AE21" s="105">
        <v>45896</v>
      </c>
      <c r="AF21" s="106" t="s">
        <v>364</v>
      </c>
      <c r="AG21" s="105">
        <v>45928</v>
      </c>
      <c r="AH21" s="106" t="s">
        <v>364</v>
      </c>
      <c r="AI21" s="105">
        <v>45927</v>
      </c>
      <c r="AJ21" s="106" t="s">
        <v>364</v>
      </c>
      <c r="AK21" s="105">
        <v>45686</v>
      </c>
      <c r="AL21" s="106" t="s">
        <v>364</v>
      </c>
    </row>
    <row r="22" spans="1:38" s="1" customFormat="1" x14ac:dyDescent="0.25">
      <c r="A22" s="2">
        <v>14</v>
      </c>
      <c r="B22" s="2" t="s">
        <v>176</v>
      </c>
      <c r="C22" s="2" t="s">
        <v>179</v>
      </c>
      <c r="D22" s="3" t="s">
        <v>181</v>
      </c>
      <c r="E22" s="163" t="s">
        <v>341</v>
      </c>
      <c r="F22" s="3" t="s">
        <v>341</v>
      </c>
      <c r="G22" s="25" t="s">
        <v>89</v>
      </c>
      <c r="H22" s="2" t="s">
        <v>15</v>
      </c>
      <c r="I22" s="106" t="s">
        <v>139</v>
      </c>
      <c r="J22" s="4" t="s">
        <v>197</v>
      </c>
      <c r="K22" s="4" t="s">
        <v>170</v>
      </c>
      <c r="L22" s="2" t="s">
        <v>78</v>
      </c>
      <c r="M22" s="2"/>
      <c r="N22" s="2" t="s">
        <v>320</v>
      </c>
      <c r="O22" s="105">
        <v>45674</v>
      </c>
      <c r="P22" s="106">
        <v>1104.79</v>
      </c>
      <c r="Q22" s="105">
        <v>45706</v>
      </c>
      <c r="R22" s="106">
        <v>1027.93</v>
      </c>
      <c r="S22" s="105">
        <v>45733</v>
      </c>
      <c r="T22" s="106">
        <v>947.2</v>
      </c>
      <c r="U22" s="105">
        <v>45762</v>
      </c>
      <c r="V22" s="106">
        <v>1096.04</v>
      </c>
      <c r="W22" s="105">
        <v>45792</v>
      </c>
      <c r="X22" s="106">
        <v>1205.47</v>
      </c>
      <c r="Y22" s="105">
        <v>45825</v>
      </c>
      <c r="Z22" s="106">
        <v>1162.95</v>
      </c>
      <c r="AA22" s="105">
        <v>45852</v>
      </c>
      <c r="AB22" s="106">
        <v>1038.95</v>
      </c>
      <c r="AC22" s="105">
        <v>45884</v>
      </c>
      <c r="AD22" s="106">
        <v>1197.72</v>
      </c>
      <c r="AE22" s="105">
        <v>45915</v>
      </c>
      <c r="AF22" s="106">
        <v>1048.92</v>
      </c>
      <c r="AG22" s="105">
        <v>45945</v>
      </c>
      <c r="AH22" s="106">
        <v>1111.26</v>
      </c>
      <c r="AI22" s="105">
        <v>45978</v>
      </c>
      <c r="AJ22" s="106">
        <v>1065.4000000000001</v>
      </c>
      <c r="AK22" s="105">
        <v>46008</v>
      </c>
      <c r="AL22" s="106">
        <v>1005.14</v>
      </c>
    </row>
    <row r="23" spans="1:38" s="1" customFormat="1" x14ac:dyDescent="0.25">
      <c r="A23" s="155">
        <v>15</v>
      </c>
      <c r="B23" s="2" t="s">
        <v>339</v>
      </c>
      <c r="C23" s="2" t="s">
        <v>178</v>
      </c>
      <c r="D23" s="3" t="s">
        <v>181</v>
      </c>
      <c r="E23" s="163" t="s">
        <v>341</v>
      </c>
      <c r="F23" s="3" t="s">
        <v>341</v>
      </c>
      <c r="G23" s="25" t="s">
        <v>89</v>
      </c>
      <c r="H23" s="2" t="s">
        <v>15</v>
      </c>
      <c r="I23" s="106" t="s">
        <v>139</v>
      </c>
      <c r="J23" s="4" t="s">
        <v>197</v>
      </c>
      <c r="K23" s="4" t="s">
        <v>170</v>
      </c>
      <c r="L23" s="2" t="s">
        <v>78</v>
      </c>
      <c r="M23" s="2"/>
      <c r="N23" s="2" t="s">
        <v>320</v>
      </c>
      <c r="O23" s="105">
        <v>45673</v>
      </c>
      <c r="P23" s="106">
        <v>111.24</v>
      </c>
      <c r="Q23" s="105">
        <v>45706</v>
      </c>
      <c r="R23" s="106">
        <v>116.23</v>
      </c>
      <c r="S23" s="105">
        <v>45733</v>
      </c>
      <c r="T23" s="106">
        <v>193.1</v>
      </c>
      <c r="U23" s="105">
        <v>45762</v>
      </c>
      <c r="V23" s="106">
        <v>238.34</v>
      </c>
      <c r="W23" s="105">
        <v>45792</v>
      </c>
      <c r="X23" s="106">
        <v>167.15</v>
      </c>
      <c r="Y23" s="105">
        <v>45825</v>
      </c>
      <c r="Z23" s="106">
        <v>155.91</v>
      </c>
      <c r="AA23" s="105">
        <v>45852</v>
      </c>
      <c r="AB23" s="106">
        <v>184.48</v>
      </c>
      <c r="AC23" s="105">
        <v>45884</v>
      </c>
      <c r="AD23" s="106">
        <v>280.29000000000002</v>
      </c>
      <c r="AE23" s="105">
        <v>45915</v>
      </c>
      <c r="AF23" s="106">
        <v>274.2</v>
      </c>
      <c r="AG23" s="105">
        <v>45945</v>
      </c>
      <c r="AH23" s="106">
        <v>299.55</v>
      </c>
      <c r="AI23" s="105">
        <v>45978</v>
      </c>
      <c r="AJ23" s="106">
        <v>354.37</v>
      </c>
      <c r="AK23" s="105">
        <v>46008</v>
      </c>
      <c r="AL23" s="106">
        <v>432.44</v>
      </c>
    </row>
    <row r="24" spans="1:38" s="1" customFormat="1" x14ac:dyDescent="0.25">
      <c r="A24" s="2">
        <v>16</v>
      </c>
      <c r="B24" s="2" t="s">
        <v>167</v>
      </c>
      <c r="C24" s="2" t="s">
        <v>182</v>
      </c>
      <c r="D24" s="3" t="s">
        <v>181</v>
      </c>
      <c r="E24" s="163" t="s">
        <v>341</v>
      </c>
      <c r="F24" s="164" t="s">
        <v>341</v>
      </c>
      <c r="G24" s="25" t="s">
        <v>89</v>
      </c>
      <c r="H24" s="2" t="s">
        <v>15</v>
      </c>
      <c r="I24" s="106">
        <v>1415.61</v>
      </c>
      <c r="J24" s="4" t="s">
        <v>196</v>
      </c>
      <c r="K24" s="4" t="s">
        <v>170</v>
      </c>
      <c r="L24" s="2" t="s">
        <v>78</v>
      </c>
      <c r="M24" s="2"/>
      <c r="N24" s="2" t="s">
        <v>320</v>
      </c>
      <c r="O24" s="105">
        <v>45660</v>
      </c>
      <c r="P24" s="106">
        <v>1415.61</v>
      </c>
      <c r="Q24" s="105">
        <v>45689</v>
      </c>
      <c r="R24" s="106">
        <v>1415.61</v>
      </c>
      <c r="S24" s="105">
        <v>45722</v>
      </c>
      <c r="T24" s="106">
        <v>1415.61</v>
      </c>
      <c r="U24" s="105">
        <v>45750</v>
      </c>
      <c r="V24" s="106">
        <v>1415.61</v>
      </c>
      <c r="W24" s="105">
        <v>45777</v>
      </c>
      <c r="X24" s="106">
        <v>1415.61</v>
      </c>
      <c r="Y24" s="105">
        <v>45811</v>
      </c>
      <c r="Z24" s="106">
        <v>1397.03</v>
      </c>
      <c r="AA24" s="105">
        <v>45839</v>
      </c>
      <c r="AB24" s="106">
        <v>1415.61</v>
      </c>
      <c r="AC24" s="105">
        <v>45871</v>
      </c>
      <c r="AD24" s="106">
        <v>1415.61</v>
      </c>
      <c r="AE24" s="105">
        <v>45902</v>
      </c>
      <c r="AF24" s="106">
        <v>1415.61</v>
      </c>
      <c r="AG24" s="105">
        <v>45932</v>
      </c>
      <c r="AH24" s="106">
        <v>1223.53</v>
      </c>
      <c r="AI24" s="105">
        <v>45966</v>
      </c>
      <c r="AJ24" s="106">
        <v>1377.19</v>
      </c>
      <c r="AK24" s="105">
        <v>46001</v>
      </c>
      <c r="AL24" s="106">
        <v>1223.53</v>
      </c>
    </row>
    <row r="25" spans="1:38" s="1" customFormat="1" hidden="1" x14ac:dyDescent="0.25">
      <c r="A25" s="155"/>
      <c r="B25" s="2" t="s">
        <v>329</v>
      </c>
      <c r="C25" s="2" t="s">
        <v>200</v>
      </c>
      <c r="D25" s="3" t="s">
        <v>181</v>
      </c>
      <c r="E25" s="3" t="s">
        <v>181</v>
      </c>
      <c r="F25" s="3" t="s">
        <v>181</v>
      </c>
      <c r="G25" s="2" t="s">
        <v>181</v>
      </c>
      <c r="H25" s="2" t="s">
        <v>181</v>
      </c>
      <c r="I25" s="4">
        <v>99.9</v>
      </c>
      <c r="J25" s="4" t="s">
        <v>208</v>
      </c>
      <c r="K25" s="4" t="s">
        <v>170</v>
      </c>
      <c r="L25" s="2" t="s">
        <v>78</v>
      </c>
      <c r="M25" s="2"/>
      <c r="N25" s="2" t="s">
        <v>320</v>
      </c>
      <c r="O25" s="105">
        <v>45652</v>
      </c>
      <c r="P25" s="106">
        <v>120.42</v>
      </c>
      <c r="Q25" s="105">
        <v>45677</v>
      </c>
      <c r="R25" s="106">
        <v>120.42</v>
      </c>
      <c r="S25" s="105" t="s">
        <v>149</v>
      </c>
      <c r="T25" s="105" t="s">
        <v>149</v>
      </c>
      <c r="U25" s="105" t="s">
        <v>149</v>
      </c>
      <c r="V25" s="105" t="s">
        <v>149</v>
      </c>
      <c r="W25" s="105" t="s">
        <v>181</v>
      </c>
      <c r="X25" s="106" t="s">
        <v>181</v>
      </c>
      <c r="Y25" s="105" t="s">
        <v>181</v>
      </c>
      <c r="Z25" s="106" t="s">
        <v>181</v>
      </c>
      <c r="AA25" s="105" t="s">
        <v>181</v>
      </c>
      <c r="AB25" s="106" t="s">
        <v>181</v>
      </c>
      <c r="AC25" s="105" t="s">
        <v>181</v>
      </c>
      <c r="AD25" s="106" t="s">
        <v>181</v>
      </c>
      <c r="AE25" s="105" t="s">
        <v>181</v>
      </c>
      <c r="AF25" s="106" t="s">
        <v>181</v>
      </c>
      <c r="AG25" s="105" t="s">
        <v>181</v>
      </c>
      <c r="AH25" s="106" t="s">
        <v>181</v>
      </c>
      <c r="AI25" s="105" t="s">
        <v>181</v>
      </c>
      <c r="AJ25" s="106" t="s">
        <v>181</v>
      </c>
      <c r="AK25" s="105" t="s">
        <v>181</v>
      </c>
      <c r="AL25" s="106" t="s">
        <v>181</v>
      </c>
    </row>
    <row r="26" spans="1:38" s="1" customFormat="1" hidden="1" x14ac:dyDescent="0.25">
      <c r="A26" s="2"/>
      <c r="B26" s="2" t="s">
        <v>328</v>
      </c>
      <c r="C26" s="2" t="s">
        <v>280</v>
      </c>
      <c r="D26" s="3" t="s">
        <v>181</v>
      </c>
      <c r="E26" s="3" t="s">
        <v>181</v>
      </c>
      <c r="F26" s="3" t="s">
        <v>181</v>
      </c>
      <c r="G26" s="2" t="s">
        <v>181</v>
      </c>
      <c r="H26" s="2" t="s">
        <v>181</v>
      </c>
      <c r="I26" s="4">
        <v>119.9</v>
      </c>
      <c r="J26" s="4" t="s">
        <v>208</v>
      </c>
      <c r="K26" s="4" t="s">
        <v>170</v>
      </c>
      <c r="L26" s="2" t="s">
        <v>78</v>
      </c>
      <c r="M26" s="2"/>
      <c r="N26" s="2" t="s">
        <v>320</v>
      </c>
      <c r="O26" s="105">
        <v>45652</v>
      </c>
      <c r="P26" s="106">
        <v>120.42</v>
      </c>
      <c r="Q26" s="105">
        <v>45677</v>
      </c>
      <c r="R26" s="103">
        <v>120.42</v>
      </c>
      <c r="S26" s="105">
        <v>45706</v>
      </c>
      <c r="T26" s="106">
        <v>89.34</v>
      </c>
      <c r="U26" s="105" t="s">
        <v>149</v>
      </c>
      <c r="V26" s="105" t="s">
        <v>149</v>
      </c>
      <c r="W26" s="105" t="s">
        <v>181</v>
      </c>
      <c r="X26" s="106" t="s">
        <v>181</v>
      </c>
      <c r="Y26" s="105" t="s">
        <v>181</v>
      </c>
      <c r="Z26" s="106" t="s">
        <v>181</v>
      </c>
      <c r="AA26" s="105" t="s">
        <v>181</v>
      </c>
      <c r="AB26" s="106" t="s">
        <v>181</v>
      </c>
      <c r="AC26" s="105" t="s">
        <v>181</v>
      </c>
      <c r="AD26" s="106" t="s">
        <v>181</v>
      </c>
      <c r="AE26" s="105" t="s">
        <v>181</v>
      </c>
      <c r="AF26" s="106" t="s">
        <v>181</v>
      </c>
      <c r="AG26" s="105" t="s">
        <v>181</v>
      </c>
      <c r="AH26" s="106" t="s">
        <v>181</v>
      </c>
      <c r="AI26" s="105" t="s">
        <v>181</v>
      </c>
      <c r="AJ26" s="106" t="s">
        <v>181</v>
      </c>
      <c r="AK26" s="105" t="s">
        <v>181</v>
      </c>
      <c r="AL26" s="106" t="s">
        <v>181</v>
      </c>
    </row>
    <row r="27" spans="1:38" s="1" customFormat="1" x14ac:dyDescent="0.25">
      <c r="A27" s="155">
        <v>17</v>
      </c>
      <c r="B27" s="2" t="s">
        <v>327</v>
      </c>
      <c r="C27" s="2" t="s">
        <v>355</v>
      </c>
      <c r="D27" s="3">
        <v>43773</v>
      </c>
      <c r="E27" s="163" t="s">
        <v>341</v>
      </c>
      <c r="F27" s="3" t="s">
        <v>13</v>
      </c>
      <c r="G27" s="25" t="s">
        <v>89</v>
      </c>
      <c r="H27" s="2" t="s">
        <v>15</v>
      </c>
      <c r="I27" s="106">
        <v>120.42</v>
      </c>
      <c r="J27" s="4" t="s">
        <v>208</v>
      </c>
      <c r="K27" s="4" t="s">
        <v>170</v>
      </c>
      <c r="L27" s="2" t="s">
        <v>78</v>
      </c>
      <c r="M27" s="2"/>
      <c r="N27" s="2" t="s">
        <v>320</v>
      </c>
      <c r="O27" s="105">
        <v>45652</v>
      </c>
      <c r="P27" s="106">
        <v>120.42</v>
      </c>
      <c r="Q27" s="105">
        <v>45677</v>
      </c>
      <c r="R27" s="103">
        <v>120.42</v>
      </c>
      <c r="S27" s="105">
        <v>45706</v>
      </c>
      <c r="T27" s="106">
        <v>120.42</v>
      </c>
      <c r="U27" s="105">
        <v>45734</v>
      </c>
      <c r="V27" s="106">
        <v>120.42</v>
      </c>
      <c r="W27" s="105">
        <v>45770</v>
      </c>
      <c r="X27" s="106">
        <v>120.42</v>
      </c>
      <c r="Y27" s="105">
        <v>45797</v>
      </c>
      <c r="Z27" s="106">
        <v>120.42</v>
      </c>
      <c r="AA27" s="105">
        <v>45834</v>
      </c>
      <c r="AB27" s="106">
        <v>120.42</v>
      </c>
      <c r="AC27" s="105">
        <v>45856</v>
      </c>
      <c r="AD27" s="106">
        <v>120.42</v>
      </c>
      <c r="AE27" s="105">
        <v>45888</v>
      </c>
      <c r="AF27" s="106">
        <v>120.42</v>
      </c>
      <c r="AG27" s="105">
        <v>45919</v>
      </c>
      <c r="AH27" s="106">
        <v>120.42</v>
      </c>
      <c r="AI27" s="105">
        <v>45954</v>
      </c>
      <c r="AJ27" s="106">
        <v>120.42</v>
      </c>
      <c r="AK27" s="105">
        <v>45978</v>
      </c>
      <c r="AL27" s="106">
        <v>120.42</v>
      </c>
    </row>
    <row r="28" spans="1:38" s="1" customFormat="1" x14ac:dyDescent="0.25">
      <c r="A28" s="2">
        <v>18</v>
      </c>
      <c r="B28" s="2" t="s">
        <v>326</v>
      </c>
      <c r="C28" s="2" t="s">
        <v>356</v>
      </c>
      <c r="D28" s="3">
        <v>44400</v>
      </c>
      <c r="E28" s="163" t="s">
        <v>341</v>
      </c>
      <c r="F28" s="3" t="s">
        <v>13</v>
      </c>
      <c r="G28" s="25" t="s">
        <v>89</v>
      </c>
      <c r="H28" s="2" t="s">
        <v>15</v>
      </c>
      <c r="I28" s="106">
        <v>120.42</v>
      </c>
      <c r="J28" s="4" t="s">
        <v>208</v>
      </c>
      <c r="K28" s="4" t="s">
        <v>170</v>
      </c>
      <c r="L28" s="2" t="s">
        <v>78</v>
      </c>
      <c r="M28" s="2"/>
      <c r="N28" s="2" t="s">
        <v>320</v>
      </c>
      <c r="O28" s="105">
        <v>45670</v>
      </c>
      <c r="P28" s="106">
        <v>123.13</v>
      </c>
      <c r="Q28" s="105">
        <v>45698</v>
      </c>
      <c r="R28" s="106">
        <v>120.42</v>
      </c>
      <c r="S28" s="105">
        <v>45727</v>
      </c>
      <c r="T28" s="106">
        <v>120.42</v>
      </c>
      <c r="U28" s="105">
        <v>45756</v>
      </c>
      <c r="V28" s="106">
        <v>120.42</v>
      </c>
      <c r="W28" s="105">
        <v>45789</v>
      </c>
      <c r="X28" s="106">
        <v>120.42</v>
      </c>
      <c r="Y28" s="105">
        <v>45818</v>
      </c>
      <c r="Z28" s="106">
        <v>120.42</v>
      </c>
      <c r="AA28" s="105">
        <v>45847</v>
      </c>
      <c r="AB28" s="106">
        <v>120.42</v>
      </c>
      <c r="AC28" s="105">
        <v>45878</v>
      </c>
      <c r="AD28" s="106">
        <v>120.42</v>
      </c>
      <c r="AE28" s="105">
        <v>45909</v>
      </c>
      <c r="AF28" s="106">
        <v>120.42</v>
      </c>
      <c r="AG28" s="105">
        <v>45939</v>
      </c>
      <c r="AH28" s="106">
        <v>120.42</v>
      </c>
      <c r="AI28" s="105">
        <v>45982</v>
      </c>
      <c r="AJ28" s="106">
        <v>120.42</v>
      </c>
      <c r="AK28" s="105">
        <v>46001</v>
      </c>
      <c r="AL28" s="106">
        <v>122.4</v>
      </c>
    </row>
    <row r="29" spans="1:38" s="1" customFormat="1" x14ac:dyDescent="0.25">
      <c r="A29" s="155">
        <v>19</v>
      </c>
      <c r="B29" s="2" t="s">
        <v>366</v>
      </c>
      <c r="C29" s="2" t="s">
        <v>338</v>
      </c>
      <c r="D29" s="3">
        <v>45505</v>
      </c>
      <c r="E29" s="163" t="s">
        <v>341</v>
      </c>
      <c r="F29" s="3" t="s">
        <v>13</v>
      </c>
      <c r="G29" s="25" t="s">
        <v>89</v>
      </c>
      <c r="H29" s="2" t="s">
        <v>15</v>
      </c>
      <c r="I29" s="106">
        <v>115.28</v>
      </c>
      <c r="J29" s="103" t="s">
        <v>346</v>
      </c>
      <c r="K29" s="4" t="s">
        <v>170</v>
      </c>
      <c r="L29" s="2" t="s">
        <v>78</v>
      </c>
      <c r="M29" s="2"/>
      <c r="N29" s="2" t="s">
        <v>320</v>
      </c>
      <c r="O29" s="105">
        <v>45652</v>
      </c>
      <c r="P29" s="106">
        <v>104.9</v>
      </c>
      <c r="Q29" s="105">
        <v>45684</v>
      </c>
      <c r="R29" s="106">
        <v>104.9</v>
      </c>
      <c r="S29" s="105">
        <v>45714</v>
      </c>
      <c r="T29" s="106">
        <v>104.9</v>
      </c>
      <c r="U29" s="105">
        <v>45743</v>
      </c>
      <c r="V29" s="106">
        <v>104.9</v>
      </c>
      <c r="W29" s="105">
        <v>45776</v>
      </c>
      <c r="X29" s="106">
        <v>104.9</v>
      </c>
      <c r="Y29" s="105">
        <v>45806</v>
      </c>
      <c r="Z29" s="106">
        <v>104.9</v>
      </c>
      <c r="AA29" s="105">
        <v>45834</v>
      </c>
      <c r="AB29" s="106">
        <v>115.28</v>
      </c>
      <c r="AC29" s="105">
        <v>45866</v>
      </c>
      <c r="AD29" s="106">
        <v>115.28</v>
      </c>
      <c r="AE29" s="105">
        <v>45899</v>
      </c>
      <c r="AF29" s="106">
        <v>115.28</v>
      </c>
      <c r="AG29" s="105">
        <v>45932</v>
      </c>
      <c r="AH29" s="106">
        <v>115.28</v>
      </c>
      <c r="AI29" s="105">
        <v>45964</v>
      </c>
      <c r="AJ29" s="106">
        <v>115.28</v>
      </c>
      <c r="AK29" s="105">
        <v>45989</v>
      </c>
      <c r="AL29" s="106">
        <v>115.28</v>
      </c>
    </row>
    <row r="30" spans="1:38" s="1" customFormat="1" x14ac:dyDescent="0.25">
      <c r="A30" s="2">
        <v>20</v>
      </c>
      <c r="B30" s="2" t="s">
        <v>367</v>
      </c>
      <c r="C30" s="2" t="s">
        <v>338</v>
      </c>
      <c r="D30" s="3">
        <v>45505</v>
      </c>
      <c r="E30" s="163" t="s">
        <v>341</v>
      </c>
      <c r="F30" s="3" t="s">
        <v>13</v>
      </c>
      <c r="G30" s="25" t="s">
        <v>89</v>
      </c>
      <c r="H30" s="2" t="s">
        <v>15</v>
      </c>
      <c r="I30" s="106">
        <v>93.3</v>
      </c>
      <c r="J30" s="103" t="s">
        <v>346</v>
      </c>
      <c r="K30" s="4" t="s">
        <v>170</v>
      </c>
      <c r="L30" s="2" t="s">
        <v>78</v>
      </c>
      <c r="M30" s="2"/>
      <c r="N30" s="2" t="s">
        <v>320</v>
      </c>
      <c r="O30" s="105">
        <v>45652</v>
      </c>
      <c r="P30" s="106">
        <v>84.9</v>
      </c>
      <c r="Q30" s="105">
        <v>45684</v>
      </c>
      <c r="R30" s="106">
        <v>84.9</v>
      </c>
      <c r="S30" s="105">
        <v>45714</v>
      </c>
      <c r="T30" s="106">
        <v>84.9</v>
      </c>
      <c r="U30" s="105">
        <v>45743</v>
      </c>
      <c r="V30" s="106">
        <v>84.9</v>
      </c>
      <c r="W30" s="105">
        <v>45776</v>
      </c>
      <c r="X30" s="106">
        <v>84.9</v>
      </c>
      <c r="Y30" s="105">
        <v>45806</v>
      </c>
      <c r="Z30" s="106">
        <v>84.9</v>
      </c>
      <c r="AA30" s="105">
        <v>45834</v>
      </c>
      <c r="AB30" s="106">
        <v>93.3</v>
      </c>
      <c r="AC30" s="105">
        <v>45867</v>
      </c>
      <c r="AD30" s="106">
        <v>93.3</v>
      </c>
      <c r="AE30" s="105">
        <v>45898</v>
      </c>
      <c r="AF30" s="106">
        <v>93.3</v>
      </c>
      <c r="AG30" s="105">
        <v>45930</v>
      </c>
      <c r="AH30" s="106">
        <v>93.3</v>
      </c>
      <c r="AI30" s="105">
        <v>45964</v>
      </c>
      <c r="AJ30" s="106">
        <v>93.3</v>
      </c>
      <c r="AK30" s="105">
        <v>45987</v>
      </c>
      <c r="AL30" s="106">
        <v>93.3</v>
      </c>
    </row>
    <row r="31" spans="1:38" s="1" customFormat="1" x14ac:dyDescent="0.25">
      <c r="A31" s="155">
        <v>21</v>
      </c>
      <c r="B31" s="2" t="s">
        <v>297</v>
      </c>
      <c r="C31" s="2" t="s">
        <v>298</v>
      </c>
      <c r="D31" s="3">
        <v>44676</v>
      </c>
      <c r="E31" s="163" t="s">
        <v>341</v>
      </c>
      <c r="F31" s="3" t="s">
        <v>6</v>
      </c>
      <c r="G31" s="23" t="s">
        <v>89</v>
      </c>
      <c r="H31" s="25" t="s">
        <v>7</v>
      </c>
      <c r="I31" s="106" t="s">
        <v>139</v>
      </c>
      <c r="J31" s="4" t="s">
        <v>299</v>
      </c>
      <c r="K31" s="4" t="s">
        <v>170</v>
      </c>
      <c r="L31" s="2" t="s">
        <v>78</v>
      </c>
      <c r="M31" s="2"/>
      <c r="N31" s="2" t="s">
        <v>318</v>
      </c>
      <c r="O31" s="105">
        <v>45685</v>
      </c>
      <c r="P31" s="106">
        <v>2386.12</v>
      </c>
      <c r="Q31" s="105">
        <v>45727</v>
      </c>
      <c r="R31" s="106">
        <v>2526.33</v>
      </c>
      <c r="S31" s="105">
        <v>45754</v>
      </c>
      <c r="T31" s="106">
        <v>2947.39</v>
      </c>
      <c r="U31" s="105">
        <v>45783</v>
      </c>
      <c r="V31" s="106">
        <v>2666.69</v>
      </c>
      <c r="W31" s="105">
        <v>45821</v>
      </c>
      <c r="X31" s="106">
        <v>3543.84</v>
      </c>
      <c r="Y31" s="105">
        <v>45839</v>
      </c>
      <c r="Z31" s="106">
        <v>2953.2</v>
      </c>
      <c r="AA31" s="106" t="s">
        <v>362</v>
      </c>
      <c r="AB31" s="106" t="s">
        <v>362</v>
      </c>
      <c r="AC31" s="105">
        <v>45896</v>
      </c>
      <c r="AD31" s="106">
        <v>3100.86</v>
      </c>
      <c r="AE31" s="105">
        <v>45932</v>
      </c>
      <c r="AF31" s="106">
        <v>3100.86</v>
      </c>
      <c r="AG31" s="105">
        <v>45965</v>
      </c>
      <c r="AH31" s="106">
        <v>2510.2199999999998</v>
      </c>
      <c r="AI31" s="105">
        <v>45986</v>
      </c>
      <c r="AJ31" s="106">
        <v>2953.2</v>
      </c>
      <c r="AK31" s="105">
        <v>46386</v>
      </c>
      <c r="AL31" s="106">
        <v>3691.5</v>
      </c>
    </row>
    <row r="32" spans="1:38" s="1" customFormat="1" x14ac:dyDescent="0.25">
      <c r="A32" s="2">
        <v>22</v>
      </c>
      <c r="B32" s="2" t="s">
        <v>359</v>
      </c>
      <c r="C32" s="2"/>
      <c r="D32" s="3"/>
      <c r="E32" s="163"/>
      <c r="F32" s="3"/>
      <c r="G32" s="23"/>
      <c r="H32" s="25"/>
      <c r="I32" s="106">
        <v>1691.45</v>
      </c>
      <c r="J32" s="4"/>
      <c r="K32" s="4" t="s">
        <v>361</v>
      </c>
      <c r="L32" s="2" t="s">
        <v>78</v>
      </c>
      <c r="M32" s="2"/>
      <c r="N32" s="2" t="s">
        <v>319</v>
      </c>
      <c r="O32" s="105"/>
      <c r="P32" s="106"/>
      <c r="Q32" s="105"/>
      <c r="R32" s="106"/>
      <c r="S32" s="105"/>
      <c r="T32" s="106"/>
      <c r="U32" s="105"/>
      <c r="V32" s="106"/>
      <c r="W32" s="105"/>
      <c r="X32" s="106"/>
      <c r="Y32" s="105">
        <v>45810</v>
      </c>
      <c r="Z32" s="106">
        <v>1691.45</v>
      </c>
      <c r="AA32" s="105">
        <v>45855</v>
      </c>
      <c r="AB32" s="106">
        <v>1691.45</v>
      </c>
      <c r="AC32" s="105">
        <v>45870</v>
      </c>
      <c r="AD32" s="106">
        <v>1691.45</v>
      </c>
      <c r="AE32" s="105">
        <v>45901</v>
      </c>
      <c r="AF32" s="106">
        <v>1691.45</v>
      </c>
      <c r="AG32" s="105">
        <v>45931</v>
      </c>
      <c r="AH32" s="106">
        <v>1691.45</v>
      </c>
      <c r="AI32" s="105">
        <v>45964</v>
      </c>
      <c r="AJ32" s="106">
        <v>1691.45</v>
      </c>
      <c r="AK32" s="105">
        <v>45993</v>
      </c>
      <c r="AL32" s="106">
        <v>1691.45</v>
      </c>
    </row>
    <row r="33" spans="1:39" s="1" customFormat="1" x14ac:dyDescent="0.25">
      <c r="A33" s="155">
        <v>23</v>
      </c>
      <c r="B33" s="2" t="s">
        <v>363</v>
      </c>
      <c r="C33" s="2"/>
      <c r="D33" s="3"/>
      <c r="E33" s="163"/>
      <c r="F33" s="3"/>
      <c r="G33" s="23"/>
      <c r="H33" s="25"/>
      <c r="I33" s="106">
        <v>206</v>
      </c>
      <c r="J33" s="4"/>
      <c r="K33" s="4"/>
      <c r="L33" s="2" t="s">
        <v>78</v>
      </c>
      <c r="M33" s="2"/>
      <c r="N33" s="2" t="s">
        <v>319</v>
      </c>
      <c r="O33" s="105"/>
      <c r="P33" s="106"/>
      <c r="Q33" s="105"/>
      <c r="R33" s="106"/>
      <c r="S33" s="105"/>
      <c r="T33" s="106"/>
      <c r="U33" s="105"/>
      <c r="V33" s="106"/>
      <c r="W33" s="105"/>
      <c r="X33" s="106"/>
      <c r="Y33" s="105">
        <v>45841</v>
      </c>
      <c r="Z33" s="106">
        <v>206</v>
      </c>
      <c r="AA33" s="105">
        <v>45847</v>
      </c>
      <c r="AB33" s="106">
        <v>206</v>
      </c>
      <c r="AC33" s="105">
        <v>45870</v>
      </c>
      <c r="AD33" s="106">
        <v>206</v>
      </c>
      <c r="AE33" s="105">
        <v>45903</v>
      </c>
      <c r="AF33" s="106">
        <v>206</v>
      </c>
      <c r="AG33" s="105">
        <v>45938</v>
      </c>
      <c r="AH33" s="106">
        <v>206</v>
      </c>
      <c r="AI33" s="105">
        <v>45967</v>
      </c>
      <c r="AJ33" s="106">
        <v>206</v>
      </c>
      <c r="AK33" s="105">
        <v>45996</v>
      </c>
      <c r="AL33" s="106">
        <v>206</v>
      </c>
    </row>
    <row r="34" spans="1:39" s="1" customFormat="1" x14ac:dyDescent="0.25">
      <c r="A34" s="155">
        <v>24</v>
      </c>
      <c r="B34" s="2" t="s">
        <v>368</v>
      </c>
      <c r="C34" s="2"/>
      <c r="D34" s="3"/>
      <c r="E34" s="163"/>
      <c r="F34" s="3"/>
      <c r="G34" s="23"/>
      <c r="H34" s="25"/>
      <c r="I34" s="106">
        <v>493.07</v>
      </c>
      <c r="J34" s="4"/>
      <c r="K34" s="4"/>
      <c r="L34" s="2"/>
      <c r="M34" s="2"/>
      <c r="N34" s="2" t="s">
        <v>320</v>
      </c>
      <c r="O34" s="105"/>
      <c r="P34" s="106"/>
      <c r="Q34" s="105"/>
      <c r="R34" s="106"/>
      <c r="S34" s="105"/>
      <c r="T34" s="106"/>
      <c r="U34" s="105"/>
      <c r="V34" s="106"/>
      <c r="W34" s="105"/>
      <c r="X34" s="106"/>
      <c r="Y34" s="105">
        <v>45824</v>
      </c>
      <c r="Z34" s="106">
        <v>469.84</v>
      </c>
      <c r="AA34" s="105">
        <v>45855</v>
      </c>
      <c r="AB34" s="106">
        <v>469.84</v>
      </c>
      <c r="AC34" s="105">
        <v>45887</v>
      </c>
      <c r="AD34" s="106">
        <v>469.84</v>
      </c>
      <c r="AE34" s="105">
        <v>45929</v>
      </c>
      <c r="AF34" s="106">
        <v>493.07</v>
      </c>
      <c r="AG34" s="105">
        <v>45947</v>
      </c>
      <c r="AH34" s="106">
        <v>493.07</v>
      </c>
      <c r="AI34" s="105">
        <v>45994</v>
      </c>
      <c r="AJ34" s="106">
        <v>493.07</v>
      </c>
      <c r="AK34" s="105">
        <v>46009</v>
      </c>
      <c r="AL34" s="106">
        <v>493.07</v>
      </c>
    </row>
    <row r="35" spans="1:39" s="1" customFormat="1" x14ac:dyDescent="0.25">
      <c r="A35" s="2">
        <v>25</v>
      </c>
      <c r="B35" s="2" t="s">
        <v>360</v>
      </c>
      <c r="C35" s="2"/>
      <c r="D35" s="3"/>
      <c r="E35" s="163"/>
      <c r="F35" s="3"/>
      <c r="G35" s="23"/>
      <c r="H35" s="25"/>
      <c r="I35" s="106">
        <v>1435.37</v>
      </c>
      <c r="J35" s="4" t="s">
        <v>365</v>
      </c>
      <c r="K35" s="4" t="s">
        <v>361</v>
      </c>
      <c r="L35" s="2" t="s">
        <v>78</v>
      </c>
      <c r="M35" s="2"/>
      <c r="N35" s="2" t="s">
        <v>319</v>
      </c>
      <c r="O35" s="105"/>
      <c r="P35" s="106"/>
      <c r="Q35" s="105"/>
      <c r="R35" s="106"/>
      <c r="S35" s="105"/>
      <c r="T35" s="106"/>
      <c r="U35" s="105"/>
      <c r="V35" s="106"/>
      <c r="W35" s="105"/>
      <c r="X35" s="106"/>
      <c r="Y35" s="105">
        <v>45826</v>
      </c>
      <c r="Z35" s="106">
        <v>1435.37</v>
      </c>
      <c r="AA35" s="105">
        <v>45860</v>
      </c>
      <c r="AB35" s="106">
        <v>1435.37</v>
      </c>
      <c r="AC35" s="105">
        <v>45888</v>
      </c>
      <c r="AD35" s="106">
        <v>1436.7</v>
      </c>
      <c r="AE35" s="105">
        <v>45922</v>
      </c>
      <c r="AF35" s="106">
        <v>1435.37</v>
      </c>
      <c r="AG35" s="105">
        <v>45952</v>
      </c>
      <c r="AH35" s="106">
        <v>1435.37</v>
      </c>
      <c r="AI35" s="105">
        <v>45985</v>
      </c>
      <c r="AJ35" s="106">
        <v>1435.37</v>
      </c>
      <c r="AK35" s="105">
        <v>46009</v>
      </c>
      <c r="AL35" s="106">
        <v>1435.37</v>
      </c>
    </row>
    <row r="36" spans="1:39" s="1" customFormat="1" x14ac:dyDescent="0.25">
      <c r="A36" s="155">
        <v>26</v>
      </c>
      <c r="B36" s="2" t="s">
        <v>303</v>
      </c>
      <c r="C36" s="2" t="s">
        <v>304</v>
      </c>
      <c r="D36" s="3">
        <v>44771</v>
      </c>
      <c r="E36" s="163" t="s">
        <v>341</v>
      </c>
      <c r="F36" s="3" t="s">
        <v>305</v>
      </c>
      <c r="G36" s="23" t="s">
        <v>306</v>
      </c>
      <c r="H36" s="2" t="s">
        <v>211</v>
      </c>
      <c r="I36" s="106">
        <f>100+834.48</f>
        <v>934.48</v>
      </c>
      <c r="J36" s="4" t="s">
        <v>307</v>
      </c>
      <c r="K36" s="4" t="s">
        <v>170</v>
      </c>
      <c r="L36" s="2" t="s">
        <v>78</v>
      </c>
      <c r="M36" s="2"/>
      <c r="N36" s="2" t="s">
        <v>319</v>
      </c>
      <c r="O36" s="105">
        <v>45660</v>
      </c>
      <c r="P36" s="106">
        <v>459</v>
      </c>
      <c r="Q36" s="105">
        <v>45692</v>
      </c>
      <c r="R36" s="106">
        <v>459</v>
      </c>
      <c r="S36" s="105">
        <v>45722</v>
      </c>
      <c r="T36" s="106">
        <v>459</v>
      </c>
      <c r="U36" s="105">
        <v>45750</v>
      </c>
      <c r="V36" s="106">
        <v>459</v>
      </c>
      <c r="W36" s="105">
        <v>45783</v>
      </c>
      <c r="X36" s="106">
        <v>459</v>
      </c>
      <c r="Y36" s="105">
        <v>45812</v>
      </c>
      <c r="Z36" s="106">
        <v>459</v>
      </c>
      <c r="AA36" s="105">
        <v>45841</v>
      </c>
      <c r="AB36" s="106">
        <v>459</v>
      </c>
      <c r="AC36" s="105">
        <v>45870</v>
      </c>
      <c r="AD36" s="106">
        <f>100+834.48</f>
        <v>934.48</v>
      </c>
      <c r="AE36" s="105">
        <v>45902</v>
      </c>
      <c r="AF36" s="106">
        <f>100+834.48</f>
        <v>934.48</v>
      </c>
      <c r="AG36" s="105">
        <v>45932</v>
      </c>
      <c r="AH36" s="106">
        <v>934.48</v>
      </c>
      <c r="AI36" s="105">
        <v>45965</v>
      </c>
      <c r="AJ36" s="106">
        <f>869.43+100</f>
        <v>969.43</v>
      </c>
      <c r="AK36" s="105">
        <v>45994</v>
      </c>
      <c r="AL36" s="106">
        <f>869.43+100</f>
        <v>969.43</v>
      </c>
    </row>
    <row r="37" spans="1:39" s="128" customFormat="1" ht="15.75" x14ac:dyDescent="0.25">
      <c r="A37" s="2"/>
      <c r="B37" s="122"/>
      <c r="C37" s="122"/>
      <c r="D37" s="123"/>
      <c r="E37" s="123"/>
      <c r="F37" s="123"/>
      <c r="G37" s="122"/>
      <c r="H37" s="122"/>
      <c r="I37" s="124"/>
      <c r="J37" s="124"/>
      <c r="K37" s="124"/>
      <c r="L37" s="122"/>
      <c r="M37" s="122"/>
      <c r="N37" s="122"/>
      <c r="O37" s="125"/>
      <c r="P37" s="126">
        <f>SUBTOTAL(9,P3:P36)</f>
        <v>31299.42</v>
      </c>
      <c r="Q37" s="125"/>
      <c r="R37" s="126">
        <f>SUBTOTAL(9,R3:R36)</f>
        <v>34777.189999999995</v>
      </c>
      <c r="S37" s="125"/>
      <c r="T37" s="126">
        <f>SUBTOTAL(9,T3:T36)</f>
        <v>33630.579999999994</v>
      </c>
      <c r="U37" s="125"/>
      <c r="V37" s="126">
        <f>SUBTOTAL(9,V3:V36)</f>
        <v>34953.980000000003</v>
      </c>
      <c r="W37" s="125"/>
      <c r="X37" s="126">
        <f>SUBTOTAL(9,X3:X36)</f>
        <v>34745.290000000008</v>
      </c>
      <c r="Y37" s="127"/>
      <c r="Z37" s="126">
        <f>SUBTOTAL(9,Z3:Z36)</f>
        <v>34203.57</v>
      </c>
      <c r="AA37" s="125"/>
      <c r="AB37" s="126">
        <f>SUBTOTAL(9,AB3:AB36)</f>
        <v>29201.689999999995</v>
      </c>
      <c r="AC37" s="125"/>
      <c r="AD37" s="126">
        <f>SUBTOTAL(9,AD3:AD36)</f>
        <v>34511.14</v>
      </c>
      <c r="AE37" s="125"/>
      <c r="AF37" s="126">
        <f>SUBTOTAL(9,AF3:AF36)</f>
        <v>33926.689999999995</v>
      </c>
      <c r="AG37" s="127"/>
      <c r="AH37" s="126">
        <f>SUBTOTAL(9,AH3:AH36)</f>
        <v>33834.99</v>
      </c>
      <c r="AI37" s="127"/>
      <c r="AJ37" s="126">
        <f>SUBTOTAL(9,AJ3:AJ36)</f>
        <v>35995.959999999992</v>
      </c>
      <c r="AK37" s="127"/>
      <c r="AL37" s="126">
        <f>SUBTOTAL(9,AL3:AL36)</f>
        <v>34782.259999999995</v>
      </c>
      <c r="AM37" s="167">
        <f>SUM(Tabela1456789101112[[#This Row],[Data2]:[Valor2]])</f>
        <v>405862.76</v>
      </c>
    </row>
    <row r="38" spans="1:39" s="1" customFormat="1" x14ac:dyDescent="0.25">
      <c r="A38" s="55"/>
      <c r="B38" s="55" t="s">
        <v>61</v>
      </c>
      <c r="C38" s="56"/>
      <c r="D38" s="56"/>
      <c r="E38" s="56"/>
      <c r="F38" s="56"/>
      <c r="G38" s="56"/>
      <c r="H38" s="56"/>
      <c r="I38" s="56"/>
      <c r="J38" s="56"/>
      <c r="K38" s="56"/>
      <c r="L38" s="56" t="s">
        <v>78</v>
      </c>
      <c r="M38" s="56"/>
      <c r="N38" s="56"/>
      <c r="O38" s="57"/>
      <c r="P38" s="58"/>
      <c r="Q38" s="57"/>
      <c r="R38" s="58"/>
      <c r="S38" s="57"/>
      <c r="T38" s="58"/>
      <c r="U38" s="57"/>
      <c r="V38" s="58"/>
      <c r="W38" s="57"/>
      <c r="X38" s="58"/>
      <c r="Y38" s="57"/>
      <c r="Z38" s="58"/>
      <c r="AA38" s="57"/>
      <c r="AB38" s="58"/>
      <c r="AC38" s="57"/>
      <c r="AD38" s="58"/>
      <c r="AE38" s="57"/>
      <c r="AF38" s="58"/>
      <c r="AG38" s="57"/>
      <c r="AH38" s="58"/>
      <c r="AI38" s="57"/>
      <c r="AJ38" s="58"/>
      <c r="AK38" s="57"/>
      <c r="AL38" s="58"/>
    </row>
    <row r="39" spans="1:39" s="1" customFormat="1" x14ac:dyDescent="0.25">
      <c r="A39" s="121"/>
      <c r="B39" s="35" t="s">
        <v>181</v>
      </c>
      <c r="C39" s="36" t="s">
        <v>181</v>
      </c>
      <c r="D39" s="37" t="s">
        <v>181</v>
      </c>
      <c r="E39" s="37" t="s">
        <v>181</v>
      </c>
      <c r="F39" s="37" t="s">
        <v>181</v>
      </c>
      <c r="G39" s="36" t="s">
        <v>181</v>
      </c>
      <c r="H39" s="36" t="s">
        <v>181</v>
      </c>
      <c r="I39" s="38" t="s">
        <v>181</v>
      </c>
      <c r="J39" s="38" t="s">
        <v>181</v>
      </c>
      <c r="K39" s="38" t="s">
        <v>181</v>
      </c>
      <c r="L39" s="2" t="s">
        <v>78</v>
      </c>
      <c r="M39" s="36"/>
      <c r="N39" s="36" t="s">
        <v>181</v>
      </c>
      <c r="O39" s="110" t="s">
        <v>181</v>
      </c>
      <c r="P39" s="111" t="s">
        <v>181</v>
      </c>
      <c r="Q39" s="112" t="s">
        <v>181</v>
      </c>
      <c r="R39" s="111" t="s">
        <v>181</v>
      </c>
      <c r="S39" s="112" t="s">
        <v>181</v>
      </c>
      <c r="T39" s="111" t="s">
        <v>181</v>
      </c>
      <c r="U39" s="113" t="s">
        <v>181</v>
      </c>
      <c r="V39" s="113" t="s">
        <v>181</v>
      </c>
      <c r="W39" s="110" t="s">
        <v>181</v>
      </c>
      <c r="X39" s="113" t="s">
        <v>181</v>
      </c>
      <c r="Y39" s="110" t="s">
        <v>181</v>
      </c>
      <c r="Z39" s="113" t="s">
        <v>181</v>
      </c>
      <c r="AA39" s="110" t="s">
        <v>181</v>
      </c>
      <c r="AB39" s="113" t="s">
        <v>181</v>
      </c>
      <c r="AC39" s="107" t="s">
        <v>181</v>
      </c>
      <c r="AD39" s="113" t="s">
        <v>181</v>
      </c>
      <c r="AE39" s="112" t="s">
        <v>181</v>
      </c>
      <c r="AF39" s="111" t="s">
        <v>181</v>
      </c>
      <c r="AG39" s="112" t="s">
        <v>181</v>
      </c>
      <c r="AH39" s="111" t="s">
        <v>181</v>
      </c>
      <c r="AI39" s="112" t="s">
        <v>181</v>
      </c>
      <c r="AJ39" s="111" t="s">
        <v>181</v>
      </c>
      <c r="AK39" s="112" t="s">
        <v>181</v>
      </c>
      <c r="AL39" s="114" t="s">
        <v>181</v>
      </c>
    </row>
    <row r="40" spans="1:39" s="1" customFormat="1" x14ac:dyDescent="0.25">
      <c r="A40" s="120"/>
      <c r="B40" s="35" t="s">
        <v>181</v>
      </c>
      <c r="C40" s="36" t="s">
        <v>181</v>
      </c>
      <c r="D40" s="37" t="s">
        <v>181</v>
      </c>
      <c r="E40" s="37" t="s">
        <v>181</v>
      </c>
      <c r="F40" s="37" t="s">
        <v>181</v>
      </c>
      <c r="G40" s="36" t="s">
        <v>181</v>
      </c>
      <c r="H40" s="36" t="s">
        <v>181</v>
      </c>
      <c r="I40" s="38" t="s">
        <v>181</v>
      </c>
      <c r="J40" s="38" t="s">
        <v>181</v>
      </c>
      <c r="K40" s="38" t="s">
        <v>181</v>
      </c>
      <c r="L40" s="2" t="s">
        <v>78</v>
      </c>
      <c r="M40" s="36" t="s">
        <v>181</v>
      </c>
      <c r="N40" s="36" t="s">
        <v>181</v>
      </c>
      <c r="O40" s="110" t="s">
        <v>181</v>
      </c>
      <c r="P40" s="111" t="s">
        <v>181</v>
      </c>
      <c r="Q40" s="112" t="s">
        <v>181</v>
      </c>
      <c r="R40" s="111" t="s">
        <v>181</v>
      </c>
      <c r="S40" s="112" t="s">
        <v>181</v>
      </c>
      <c r="T40" s="111" t="s">
        <v>181</v>
      </c>
      <c r="U40" s="112" t="s">
        <v>181</v>
      </c>
      <c r="V40" s="111" t="s">
        <v>181</v>
      </c>
      <c r="W40" s="110" t="s">
        <v>181</v>
      </c>
      <c r="X40" s="111" t="s">
        <v>181</v>
      </c>
      <c r="Y40" s="110" t="s">
        <v>181</v>
      </c>
      <c r="Z40" s="111" t="s">
        <v>181</v>
      </c>
      <c r="AA40" s="110" t="s">
        <v>181</v>
      </c>
      <c r="AB40" s="111" t="s">
        <v>181</v>
      </c>
      <c r="AC40" s="107" t="s">
        <v>181</v>
      </c>
      <c r="AD40" s="111" t="s">
        <v>181</v>
      </c>
      <c r="AE40" s="112" t="s">
        <v>181</v>
      </c>
      <c r="AF40" s="111" t="s">
        <v>181</v>
      </c>
      <c r="AG40" s="112" t="s">
        <v>181</v>
      </c>
      <c r="AH40" s="111" t="s">
        <v>181</v>
      </c>
      <c r="AI40" s="112" t="s">
        <v>181</v>
      </c>
      <c r="AJ40" s="111" t="s">
        <v>181</v>
      </c>
      <c r="AK40" s="112" t="s">
        <v>181</v>
      </c>
      <c r="AL40" s="114" t="s">
        <v>181</v>
      </c>
    </row>
    <row r="41" spans="1:39" s="139" customFormat="1" ht="15.75" x14ac:dyDescent="0.25">
      <c r="A41" s="155"/>
      <c r="B41" s="129"/>
      <c r="C41" s="130"/>
      <c r="D41" s="131"/>
      <c r="E41" s="131"/>
      <c r="F41" s="132"/>
      <c r="G41" s="133"/>
      <c r="H41" s="133"/>
      <c r="I41" s="134"/>
      <c r="J41" s="134"/>
      <c r="K41" s="134"/>
      <c r="L41" s="122"/>
      <c r="M41" s="130"/>
      <c r="N41" s="130"/>
      <c r="O41" s="135"/>
      <c r="P41" s="136">
        <f>SUBTOTAL(9,P39:P40)</f>
        <v>0</v>
      </c>
      <c r="Q41" s="132"/>
      <c r="R41" s="136">
        <f>SUBTOTAL(9,R39:R40)</f>
        <v>0</v>
      </c>
      <c r="S41" s="136"/>
      <c r="T41" s="136">
        <f>SUBTOTAL(9,T39:T40)</f>
        <v>0</v>
      </c>
      <c r="U41" s="38" t="s">
        <v>181</v>
      </c>
      <c r="V41" s="136">
        <f>SUBTOTAL(9,V39:V40)</f>
        <v>0</v>
      </c>
      <c r="W41" s="136"/>
      <c r="X41" s="136">
        <f>SUBTOTAL(9,X39:X40)</f>
        <v>0</v>
      </c>
      <c r="Y41" s="136"/>
      <c r="Z41" s="136">
        <f>SUBTOTAL(9,Z39:Z40)</f>
        <v>0</v>
      </c>
      <c r="AA41" s="136"/>
      <c r="AB41" s="136">
        <f>SUBTOTAL(9,AB39:AB40)</f>
        <v>0</v>
      </c>
      <c r="AC41" s="136"/>
      <c r="AD41" s="136">
        <f>SUBTOTAL(9,AD39:AD40)</f>
        <v>0</v>
      </c>
      <c r="AE41" s="136"/>
      <c r="AF41" s="136">
        <f>SUBTOTAL(9,AF39:AF40)</f>
        <v>0</v>
      </c>
      <c r="AG41" s="136"/>
      <c r="AH41" s="136">
        <f>SUBTOTAL(9,AH39:AH40)</f>
        <v>0</v>
      </c>
      <c r="AI41" s="136"/>
      <c r="AJ41" s="136">
        <f>SUBTOTAL(9,AJ39:AJ40)</f>
        <v>0</v>
      </c>
      <c r="AK41" s="136"/>
      <c r="AL41" s="136">
        <f>SUBTOTAL(9,AL39:AL40)</f>
        <v>0</v>
      </c>
    </row>
    <row r="42" spans="1:39" s="128" customFormat="1" ht="15.75" x14ac:dyDescent="0.25">
      <c r="A42" s="140"/>
      <c r="B42" s="146" t="s">
        <v>152</v>
      </c>
      <c r="C42" s="130"/>
      <c r="D42" s="131"/>
      <c r="E42" s="131"/>
      <c r="F42" s="131"/>
      <c r="G42" s="130"/>
      <c r="H42" s="130"/>
      <c r="I42" s="147"/>
      <c r="J42" s="147"/>
      <c r="K42" s="147"/>
      <c r="L42" s="130"/>
      <c r="M42" s="130"/>
      <c r="N42" s="130"/>
      <c r="O42" s="131"/>
      <c r="P42" s="147">
        <f>SUBTOTAL(9,P3:P41)</f>
        <v>31299.42</v>
      </c>
      <c r="Q42" s="131"/>
      <c r="R42" s="147">
        <f>SUBTOTAL(9,R3:R41)</f>
        <v>34777.189999999995</v>
      </c>
      <c r="S42" s="131"/>
      <c r="T42" s="147">
        <f>SUBTOTAL(9,T3:T41)</f>
        <v>33630.579999999994</v>
      </c>
      <c r="U42" s="131"/>
      <c r="V42" s="147">
        <f>SUBTOTAL(9,V3:V41)</f>
        <v>34953.980000000003</v>
      </c>
      <c r="W42" s="131"/>
      <c r="X42" s="147">
        <f>SUBTOTAL(9,X3:X41)</f>
        <v>34745.290000000008</v>
      </c>
      <c r="Y42" s="131"/>
      <c r="Z42" s="147">
        <f>SUBTOTAL(109,Tabela1456789101112[Valor8])</f>
        <v>34203.57</v>
      </c>
      <c r="AA42" s="131"/>
      <c r="AB42" s="147">
        <f>SUBTOTAL(109,Tabela1456789101112[Valor9])</f>
        <v>29201.689999999995</v>
      </c>
      <c r="AC42" s="123"/>
      <c r="AD42" s="147">
        <f>SUBTOTAL(109,Tabela1456789101112[Valor10])</f>
        <v>34511.14</v>
      </c>
      <c r="AE42" s="131"/>
      <c r="AF42" s="147">
        <f>SUBTOTAL(109,Tabela1456789101112[Valor11])</f>
        <v>33926.689999999995</v>
      </c>
      <c r="AG42" s="131"/>
      <c r="AH42" s="147">
        <f>SUBTOTAL(109,Tabela1456789101112[Valor12])</f>
        <v>33834.99</v>
      </c>
      <c r="AI42" s="131"/>
      <c r="AJ42" s="147">
        <f>SUBTOTAL(109,Tabela1456789101112[Valor14])</f>
        <v>35995.959999999992</v>
      </c>
      <c r="AK42" s="131"/>
      <c r="AL42" s="148">
        <f>SUBTOTAL(109,Tabela1456789101112[Valor2])</f>
        <v>34782.259999999995</v>
      </c>
    </row>
    <row r="47" spans="1:39" x14ac:dyDescent="0.25">
      <c r="X47" s="101"/>
    </row>
    <row r="50" spans="32:32" x14ac:dyDescent="0.25">
      <c r="AF50" s="154"/>
    </row>
  </sheetData>
  <mergeCells count="13">
    <mergeCell ref="AI1:AJ1"/>
    <mergeCell ref="AK1:AL1"/>
    <mergeCell ref="W1:X1"/>
    <mergeCell ref="Y1:Z1"/>
    <mergeCell ref="AA1:AB1"/>
    <mergeCell ref="AC1:AD1"/>
    <mergeCell ref="AE1:AF1"/>
    <mergeCell ref="AG1:AH1"/>
    <mergeCell ref="U1:V1"/>
    <mergeCell ref="D1:F1"/>
    <mergeCell ref="O1:P1"/>
    <mergeCell ref="Q1:R1"/>
    <mergeCell ref="S1:T1"/>
  </mergeCells>
  <phoneticPr fontId="18" type="noConversion"/>
  <conditionalFormatting sqref="N7:N8 N10:N11 N13:N14">
    <cfRule type="cellIs" dxfId="40" priority="1" operator="equal">
      <formula>"OK"</formula>
    </cfRule>
    <cfRule type="cellIs" dxfId="39" priority="2" operator="equal">
      <formula>"Vencido"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21" orientation="portrait" r:id="rId1"/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7881D-75EA-4B0F-9007-C5EF78A3CEAB}">
  <sheetPr>
    <pageSetUpPr fitToPage="1"/>
  </sheetPr>
  <dimension ref="A1:AL46"/>
  <sheetViews>
    <sheetView tabSelected="1" zoomScale="90" zoomScaleNormal="90" workbookViewId="0">
      <pane xSplit="14" ySplit="1" topLeftCell="AA2" activePane="bottomRight" state="frozen"/>
      <selection pane="topRight" activeCell="O1" sqref="O1"/>
      <selection pane="bottomLeft" activeCell="A2" sqref="A2"/>
      <selection pane="bottomRight" activeCell="AD15" sqref="AD15"/>
    </sheetView>
  </sheetViews>
  <sheetFormatPr defaultColWidth="9.140625" defaultRowHeight="15" outlineLevelCol="1" x14ac:dyDescent="0.25"/>
  <cols>
    <col min="1" max="1" width="5.140625" style="100" customWidth="1"/>
    <col min="2" max="2" width="36.85546875" style="100" customWidth="1"/>
    <col min="3" max="3" width="51.28515625" style="100" hidden="1" customWidth="1" outlineLevel="1"/>
    <col min="4" max="4" width="22.28515625" style="100" hidden="1" customWidth="1" outlineLevel="1"/>
    <col min="5" max="5" width="19.28515625" style="100" hidden="1" customWidth="1" outlineLevel="1"/>
    <col min="6" max="6" width="15.140625" style="100" hidden="1" customWidth="1" outlineLevel="1"/>
    <col min="7" max="7" width="23" style="100" bestFit="1" customWidth="1" collapsed="1"/>
    <col min="8" max="8" width="18.140625" style="100" bestFit="1" customWidth="1"/>
    <col min="9" max="9" width="16.140625" style="100" customWidth="1"/>
    <col min="10" max="10" width="26.140625" style="100" customWidth="1"/>
    <col min="11" max="11" width="47.5703125" style="100" hidden="1" customWidth="1" outlineLevel="1"/>
    <col min="12" max="12" width="17" style="100" hidden="1" customWidth="1" outlineLevel="1"/>
    <col min="13" max="13" width="19.5703125" style="100" hidden="1" customWidth="1" outlineLevel="1"/>
    <col min="14" max="14" width="16.140625" style="100" bestFit="1" customWidth="1" collapsed="1"/>
    <col min="15" max="15" width="11.5703125" style="100" customWidth="1"/>
    <col min="16" max="16" width="15.28515625" style="100" bestFit="1" customWidth="1"/>
    <col min="17" max="17" width="11.5703125" style="100" customWidth="1"/>
    <col min="18" max="18" width="15.28515625" style="100" bestFit="1" customWidth="1"/>
    <col min="19" max="19" width="14.42578125" style="100" bestFit="1" customWidth="1"/>
    <col min="20" max="20" width="15.28515625" style="100" bestFit="1" customWidth="1"/>
    <col min="21" max="21" width="15" style="100" customWidth="1"/>
    <col min="22" max="22" width="16.140625" style="100" bestFit="1" customWidth="1"/>
    <col min="23" max="23" width="14.42578125" style="100" bestFit="1" customWidth="1"/>
    <col min="24" max="24" width="16.140625" style="100" bestFit="1" customWidth="1"/>
    <col min="25" max="25" width="11.5703125" style="100" bestFit="1" customWidth="1"/>
    <col min="26" max="26" width="15.28515625" style="100" bestFit="1" customWidth="1"/>
    <col min="27" max="27" width="11.5703125" style="100" customWidth="1"/>
    <col min="28" max="28" width="15.28515625" style="100" bestFit="1" customWidth="1"/>
    <col min="29" max="29" width="11.5703125" style="100" customWidth="1"/>
    <col min="30" max="30" width="15.28515625" style="100" bestFit="1" customWidth="1"/>
    <col min="31" max="31" width="12.5703125" style="100" bestFit="1" customWidth="1"/>
    <col min="32" max="32" width="15.28515625" style="100" bestFit="1" customWidth="1"/>
    <col min="33" max="33" width="12.5703125" style="100" customWidth="1"/>
    <col min="34" max="34" width="15.28515625" style="100" bestFit="1" customWidth="1"/>
    <col min="35" max="35" width="12.5703125" style="100" customWidth="1"/>
    <col min="36" max="36" width="15" style="100" bestFit="1" customWidth="1"/>
    <col min="37" max="37" width="12.5703125" style="100" bestFit="1" customWidth="1"/>
    <col min="38" max="38" width="14.7109375" style="100" customWidth="1"/>
    <col min="39" max="16384" width="9.140625" style="100"/>
  </cols>
  <sheetData>
    <row r="1" spans="1:38" s="1" customFormat="1" ht="15" customHeight="1" x14ac:dyDescent="0.25">
      <c r="A1" s="143" t="s">
        <v>60</v>
      </c>
      <c r="B1" s="143"/>
      <c r="C1" s="144"/>
      <c r="D1" s="170"/>
      <c r="E1" s="170"/>
      <c r="F1" s="171"/>
      <c r="G1" s="69"/>
      <c r="H1" s="70"/>
      <c r="I1" s="69"/>
      <c r="J1" s="69"/>
      <c r="K1" s="70"/>
      <c r="L1" s="70"/>
      <c r="M1" s="62"/>
      <c r="N1" s="62"/>
      <c r="O1" s="170">
        <v>46023</v>
      </c>
      <c r="P1" s="171"/>
      <c r="Q1" s="172">
        <v>46054</v>
      </c>
      <c r="R1" s="173"/>
      <c r="S1" s="170">
        <v>46082</v>
      </c>
      <c r="T1" s="171"/>
      <c r="U1" s="172">
        <v>46113</v>
      </c>
      <c r="V1" s="173"/>
      <c r="W1" s="170">
        <v>46143</v>
      </c>
      <c r="X1" s="171"/>
      <c r="Y1" s="170">
        <v>46174</v>
      </c>
      <c r="Z1" s="171"/>
      <c r="AA1" s="172">
        <v>46204</v>
      </c>
      <c r="AB1" s="173"/>
      <c r="AC1" s="170">
        <v>46235</v>
      </c>
      <c r="AD1" s="171"/>
      <c r="AE1" s="172">
        <v>46266</v>
      </c>
      <c r="AF1" s="173"/>
      <c r="AG1" s="170">
        <v>46296</v>
      </c>
      <c r="AH1" s="171"/>
      <c r="AI1" s="170">
        <v>46327</v>
      </c>
      <c r="AJ1" s="171"/>
      <c r="AK1" s="172">
        <v>46357</v>
      </c>
      <c r="AL1" s="173"/>
    </row>
    <row r="2" spans="1:38" s="13" customFormat="1" ht="30" x14ac:dyDescent="0.25">
      <c r="A2" s="118" t="s">
        <v>276</v>
      </c>
      <c r="B2" s="11" t="s">
        <v>0</v>
      </c>
      <c r="C2" s="43" t="s">
        <v>5</v>
      </c>
      <c r="D2" s="45" t="s">
        <v>3</v>
      </c>
      <c r="E2" s="66" t="s">
        <v>209</v>
      </c>
      <c r="F2" s="45" t="s">
        <v>1</v>
      </c>
      <c r="G2" s="43" t="s">
        <v>8</v>
      </c>
      <c r="H2" s="43" t="s">
        <v>2</v>
      </c>
      <c r="I2" s="44" t="s">
        <v>79</v>
      </c>
      <c r="J2" s="59" t="s">
        <v>186</v>
      </c>
      <c r="K2" s="44" t="s">
        <v>107</v>
      </c>
      <c r="L2" s="43" t="s">
        <v>19</v>
      </c>
      <c r="M2" s="43" t="s">
        <v>105</v>
      </c>
      <c r="N2" s="11" t="s">
        <v>317</v>
      </c>
      <c r="O2" s="45" t="s">
        <v>115</v>
      </c>
      <c r="P2" s="46" t="s">
        <v>116</v>
      </c>
      <c r="Q2" s="45" t="s">
        <v>117</v>
      </c>
      <c r="R2" s="46" t="s">
        <v>118</v>
      </c>
      <c r="S2" s="45" t="s">
        <v>119</v>
      </c>
      <c r="T2" s="46" t="s">
        <v>120</v>
      </c>
      <c r="U2" s="45" t="s">
        <v>121</v>
      </c>
      <c r="V2" s="46" t="s">
        <v>122</v>
      </c>
      <c r="W2" s="45" t="s">
        <v>123</v>
      </c>
      <c r="X2" s="46" t="s">
        <v>124</v>
      </c>
      <c r="Y2" s="45" t="s">
        <v>125</v>
      </c>
      <c r="Z2" s="46" t="s">
        <v>126</v>
      </c>
      <c r="AA2" s="45" t="s">
        <v>127</v>
      </c>
      <c r="AB2" s="46" t="s">
        <v>128</v>
      </c>
      <c r="AC2" s="45" t="s">
        <v>129</v>
      </c>
      <c r="AD2" s="46" t="s">
        <v>130</v>
      </c>
      <c r="AE2" s="45" t="s">
        <v>131</v>
      </c>
      <c r="AF2" s="46" t="s">
        <v>132</v>
      </c>
      <c r="AG2" s="45" t="s">
        <v>133</v>
      </c>
      <c r="AH2" s="46" t="s">
        <v>134</v>
      </c>
      <c r="AI2" s="45" t="s">
        <v>135</v>
      </c>
      <c r="AJ2" s="46" t="s">
        <v>137</v>
      </c>
      <c r="AK2" s="45" t="s">
        <v>136</v>
      </c>
      <c r="AL2" s="46" t="s">
        <v>138</v>
      </c>
    </row>
    <row r="3" spans="1:38" s="1" customFormat="1" x14ac:dyDescent="0.25">
      <c r="A3" s="119">
        <v>1</v>
      </c>
      <c r="B3" s="25" t="s">
        <v>9</v>
      </c>
      <c r="C3" s="25" t="s">
        <v>262</v>
      </c>
      <c r="D3" s="26">
        <v>41644</v>
      </c>
      <c r="E3" s="26">
        <v>42008</v>
      </c>
      <c r="F3" s="26" t="s">
        <v>6</v>
      </c>
      <c r="G3" s="25" t="s">
        <v>89</v>
      </c>
      <c r="H3" s="25" t="s">
        <v>7</v>
      </c>
      <c r="I3" s="27" t="s">
        <v>139</v>
      </c>
      <c r="J3" s="27" t="s">
        <v>185</v>
      </c>
      <c r="K3" s="27" t="s">
        <v>145</v>
      </c>
      <c r="L3" s="25" t="s">
        <v>78</v>
      </c>
      <c r="M3" s="25" t="s">
        <v>184</v>
      </c>
      <c r="N3" s="25" t="s">
        <v>318</v>
      </c>
      <c r="O3" s="105">
        <v>46027</v>
      </c>
      <c r="P3" s="106">
        <v>5710.42</v>
      </c>
      <c r="Q3" s="105">
        <v>46062</v>
      </c>
      <c r="R3" s="106">
        <v>4032.76</v>
      </c>
      <c r="S3" s="105">
        <v>46085</v>
      </c>
      <c r="T3" s="106">
        <v>3434.89</v>
      </c>
      <c r="U3" s="105">
        <v>46113</v>
      </c>
      <c r="V3" s="106">
        <v>5485.48</v>
      </c>
      <c r="W3" s="105">
        <v>46148</v>
      </c>
      <c r="X3" s="106">
        <v>3646.97</v>
      </c>
      <c r="Y3" s="105">
        <v>46176</v>
      </c>
      <c r="Z3" s="106">
        <v>6238.27</v>
      </c>
      <c r="AA3" s="105">
        <v>46205</v>
      </c>
      <c r="AB3" s="106">
        <v>3536.39</v>
      </c>
      <c r="AC3" s="105">
        <v>46238</v>
      </c>
      <c r="AD3" s="106">
        <v>3613.79</v>
      </c>
      <c r="AE3" s="105" t="s">
        <v>181</v>
      </c>
      <c r="AF3" s="106" t="s">
        <v>181</v>
      </c>
      <c r="AG3" s="105" t="s">
        <v>181</v>
      </c>
      <c r="AH3" s="106" t="s">
        <v>181</v>
      </c>
      <c r="AI3" s="105" t="s">
        <v>181</v>
      </c>
      <c r="AJ3" s="106" t="s">
        <v>181</v>
      </c>
      <c r="AK3" s="105" t="s">
        <v>181</v>
      </c>
      <c r="AL3" s="106" t="s">
        <v>181</v>
      </c>
    </row>
    <row r="4" spans="1:38" s="1" customFormat="1" x14ac:dyDescent="0.25">
      <c r="A4" s="25">
        <v>2</v>
      </c>
      <c r="B4" s="25" t="s">
        <v>24</v>
      </c>
      <c r="C4" s="25" t="s">
        <v>263</v>
      </c>
      <c r="D4" s="26">
        <v>43102</v>
      </c>
      <c r="E4" s="162" t="s">
        <v>341</v>
      </c>
      <c r="F4" s="3" t="s">
        <v>13</v>
      </c>
      <c r="G4" s="25" t="s">
        <v>89</v>
      </c>
      <c r="H4" s="25" t="s">
        <v>7</v>
      </c>
      <c r="I4" s="106">
        <v>713.4</v>
      </c>
      <c r="J4" s="27" t="s">
        <v>188</v>
      </c>
      <c r="K4" s="27" t="s">
        <v>141</v>
      </c>
      <c r="L4" s="25" t="s">
        <v>78</v>
      </c>
      <c r="M4" s="25"/>
      <c r="N4" s="25" t="s">
        <v>319</v>
      </c>
      <c r="O4" s="105">
        <v>46034</v>
      </c>
      <c r="P4" s="106">
        <v>713.4</v>
      </c>
      <c r="Q4" s="105">
        <v>46066</v>
      </c>
      <c r="R4" s="106">
        <v>713.4</v>
      </c>
      <c r="S4" s="105">
        <v>46092</v>
      </c>
      <c r="T4" s="106">
        <v>713.4</v>
      </c>
      <c r="U4" s="105">
        <v>46121</v>
      </c>
      <c r="V4" s="106">
        <v>713.4</v>
      </c>
      <c r="W4" s="105">
        <v>46150</v>
      </c>
      <c r="X4" s="106">
        <v>713.4</v>
      </c>
      <c r="Y4" s="105">
        <v>46178</v>
      </c>
      <c r="Z4" s="106">
        <v>713.4</v>
      </c>
      <c r="AA4" s="105">
        <v>46212</v>
      </c>
      <c r="AB4" s="106">
        <v>713.4</v>
      </c>
      <c r="AC4" s="105">
        <v>46247</v>
      </c>
      <c r="AD4" s="106">
        <v>713.4</v>
      </c>
      <c r="AE4" s="105" t="s">
        <v>181</v>
      </c>
      <c r="AF4" s="106" t="s">
        <v>181</v>
      </c>
      <c r="AG4" s="105" t="s">
        <v>181</v>
      </c>
      <c r="AH4" s="106" t="s">
        <v>181</v>
      </c>
      <c r="AI4" s="105" t="s">
        <v>181</v>
      </c>
      <c r="AJ4" s="106" t="s">
        <v>181</v>
      </c>
      <c r="AK4" s="105" t="s">
        <v>181</v>
      </c>
      <c r="AL4" s="106" t="s">
        <v>181</v>
      </c>
    </row>
    <row r="5" spans="1:38" s="1" customFormat="1" x14ac:dyDescent="0.25">
      <c r="A5" s="165">
        <v>3</v>
      </c>
      <c r="B5" s="25" t="s">
        <v>31</v>
      </c>
      <c r="C5" s="25" t="s">
        <v>32</v>
      </c>
      <c r="D5" s="26">
        <v>40568</v>
      </c>
      <c r="E5" s="26">
        <v>43102</v>
      </c>
      <c r="F5" s="26" t="s">
        <v>33</v>
      </c>
      <c r="G5" s="25" t="s">
        <v>89</v>
      </c>
      <c r="H5" s="25" t="s">
        <v>7</v>
      </c>
      <c r="I5" s="106">
        <v>1810.88</v>
      </c>
      <c r="J5" s="27" t="s">
        <v>189</v>
      </c>
      <c r="K5" s="27" t="s">
        <v>110</v>
      </c>
      <c r="L5" s="25" t="s">
        <v>78</v>
      </c>
      <c r="M5" s="25"/>
      <c r="N5" s="25" t="s">
        <v>319</v>
      </c>
      <c r="O5" s="105">
        <v>46029</v>
      </c>
      <c r="P5" s="106">
        <v>1901.88</v>
      </c>
      <c r="Q5" s="105">
        <v>46057</v>
      </c>
      <c r="R5" s="106">
        <v>1901.88</v>
      </c>
      <c r="S5" s="105">
        <v>46085</v>
      </c>
      <c r="T5" s="106">
        <v>1901.88</v>
      </c>
      <c r="U5" s="105">
        <v>46118</v>
      </c>
      <c r="V5" s="106">
        <v>1901.88</v>
      </c>
      <c r="W5" s="105">
        <v>46148</v>
      </c>
      <c r="X5" s="106">
        <v>1901.88</v>
      </c>
      <c r="Y5" s="105">
        <v>46176</v>
      </c>
      <c r="Z5" s="106">
        <v>1901.88</v>
      </c>
      <c r="AA5" s="105">
        <v>46209</v>
      </c>
      <c r="AB5" s="106">
        <v>1901.88</v>
      </c>
      <c r="AC5" s="105">
        <v>46240</v>
      </c>
      <c r="AD5" s="106">
        <v>1901.88</v>
      </c>
      <c r="AE5" s="105" t="s">
        <v>181</v>
      </c>
      <c r="AF5" s="106" t="s">
        <v>181</v>
      </c>
      <c r="AG5" s="105" t="s">
        <v>181</v>
      </c>
      <c r="AH5" s="106" t="s">
        <v>181</v>
      </c>
      <c r="AI5" s="105" t="s">
        <v>181</v>
      </c>
      <c r="AJ5" s="106" t="s">
        <v>181</v>
      </c>
      <c r="AK5" s="105" t="s">
        <v>181</v>
      </c>
      <c r="AL5" s="106" t="s">
        <v>181</v>
      </c>
    </row>
    <row r="6" spans="1:38" s="1" customFormat="1" ht="15.75" thickBot="1" x14ac:dyDescent="0.3">
      <c r="A6" s="166">
        <v>4</v>
      </c>
      <c r="B6" s="25" t="s">
        <v>42</v>
      </c>
      <c r="C6" s="25" t="s">
        <v>214</v>
      </c>
      <c r="D6" s="26">
        <v>43040</v>
      </c>
      <c r="E6" s="26">
        <v>43119</v>
      </c>
      <c r="F6" s="26" t="s">
        <v>28</v>
      </c>
      <c r="G6" s="25" t="s">
        <v>89</v>
      </c>
      <c r="H6" s="25" t="s">
        <v>7</v>
      </c>
      <c r="I6" s="106">
        <v>1048.7</v>
      </c>
      <c r="J6" s="27" t="s">
        <v>190</v>
      </c>
      <c r="K6" s="27" t="s">
        <v>141</v>
      </c>
      <c r="L6" s="25" t="s">
        <v>78</v>
      </c>
      <c r="M6" s="25"/>
      <c r="N6" s="25" t="s">
        <v>319</v>
      </c>
      <c r="O6" s="105">
        <v>46038</v>
      </c>
      <c r="P6" s="106">
        <v>1048.7</v>
      </c>
      <c r="Q6" s="105">
        <v>46076</v>
      </c>
      <c r="R6" s="106">
        <v>1048.7</v>
      </c>
      <c r="S6" s="105">
        <v>46092</v>
      </c>
      <c r="T6" s="106">
        <v>1048.7</v>
      </c>
      <c r="U6" s="105">
        <v>46120</v>
      </c>
      <c r="V6" s="106">
        <v>1048.7</v>
      </c>
      <c r="W6" s="105">
        <v>46150</v>
      </c>
      <c r="X6" s="106">
        <v>1048.7</v>
      </c>
      <c r="Y6" s="105">
        <v>46176</v>
      </c>
      <c r="Z6" s="106">
        <v>1048.7</v>
      </c>
      <c r="AA6" s="105">
        <v>46212</v>
      </c>
      <c r="AB6" s="106">
        <v>1048.7</v>
      </c>
      <c r="AC6" s="105">
        <v>46245</v>
      </c>
      <c r="AD6" s="106">
        <v>1048.7</v>
      </c>
      <c r="AE6" s="105" t="s">
        <v>181</v>
      </c>
      <c r="AF6" s="106" t="s">
        <v>181</v>
      </c>
      <c r="AG6" s="105" t="s">
        <v>181</v>
      </c>
      <c r="AH6" s="106" t="s">
        <v>181</v>
      </c>
      <c r="AI6" s="105" t="s">
        <v>181</v>
      </c>
      <c r="AJ6" s="106" t="s">
        <v>181</v>
      </c>
      <c r="AK6" s="152" t="s">
        <v>181</v>
      </c>
      <c r="AL6" s="106" t="s">
        <v>181</v>
      </c>
    </row>
    <row r="7" spans="1:38" s="1" customFormat="1" x14ac:dyDescent="0.25">
      <c r="A7" s="165" t="s">
        <v>347</v>
      </c>
      <c r="B7" s="25" t="s">
        <v>212</v>
      </c>
      <c r="C7" s="25"/>
      <c r="D7" s="26"/>
      <c r="E7" s="26" t="s">
        <v>181</v>
      </c>
      <c r="F7" s="71" t="s">
        <v>181</v>
      </c>
      <c r="G7" s="79" t="s">
        <v>218</v>
      </c>
      <c r="H7" s="80">
        <v>46327</v>
      </c>
      <c r="I7" s="106" t="s">
        <v>181</v>
      </c>
      <c r="J7" s="27"/>
      <c r="K7" s="27"/>
      <c r="L7" s="25" t="s">
        <v>78</v>
      </c>
      <c r="M7" s="25"/>
      <c r="N7" s="25" t="str">
        <f ca="1">IF($H7&lt;TODAY(),"Vencido","OK")</f>
        <v>OK</v>
      </c>
      <c r="O7" s="105" t="s">
        <v>181</v>
      </c>
      <c r="P7" s="106" t="s">
        <v>181</v>
      </c>
      <c r="Q7" s="105" t="s">
        <v>181</v>
      </c>
      <c r="R7" s="106" t="s">
        <v>181</v>
      </c>
      <c r="S7" s="105" t="s">
        <v>181</v>
      </c>
      <c r="T7" s="106" t="s">
        <v>181</v>
      </c>
      <c r="U7" s="105" t="s">
        <v>181</v>
      </c>
      <c r="V7" s="106" t="s">
        <v>181</v>
      </c>
      <c r="W7" s="105" t="s">
        <v>181</v>
      </c>
      <c r="X7" s="106" t="s">
        <v>181</v>
      </c>
      <c r="Y7" s="105" t="s">
        <v>181</v>
      </c>
      <c r="Z7" s="106" t="s">
        <v>181</v>
      </c>
      <c r="AA7" s="105" t="s">
        <v>181</v>
      </c>
      <c r="AB7" s="106" t="s">
        <v>181</v>
      </c>
      <c r="AC7" s="105" t="s">
        <v>181</v>
      </c>
      <c r="AD7" s="106" t="s">
        <v>181</v>
      </c>
      <c r="AE7" s="105" t="s">
        <v>181</v>
      </c>
      <c r="AF7" s="106" t="s">
        <v>181</v>
      </c>
      <c r="AG7" s="105" t="s">
        <v>181</v>
      </c>
      <c r="AH7" s="106" t="s">
        <v>181</v>
      </c>
      <c r="AI7" s="105" t="s">
        <v>181</v>
      </c>
      <c r="AJ7" s="106" t="s">
        <v>181</v>
      </c>
      <c r="AK7" s="105" t="s">
        <v>181</v>
      </c>
      <c r="AL7" s="106" t="s">
        <v>181</v>
      </c>
    </row>
    <row r="8" spans="1:38" s="1" customFormat="1" ht="15.75" thickBot="1" x14ac:dyDescent="0.3">
      <c r="A8" s="166" t="s">
        <v>348</v>
      </c>
      <c r="B8" s="25" t="s">
        <v>213</v>
      </c>
      <c r="C8" s="25"/>
      <c r="D8" s="26"/>
      <c r="E8" s="26" t="s">
        <v>181</v>
      </c>
      <c r="F8" s="71" t="s">
        <v>181</v>
      </c>
      <c r="G8" s="76" t="s">
        <v>218</v>
      </c>
      <c r="H8" s="77">
        <v>46327</v>
      </c>
      <c r="I8" s="106" t="s">
        <v>181</v>
      </c>
      <c r="J8" s="27"/>
      <c r="K8" s="27"/>
      <c r="L8" s="25" t="s">
        <v>78</v>
      </c>
      <c r="M8" s="25"/>
      <c r="N8" s="25" t="str">
        <f ca="1">IF($H8&lt;TODAY(),"Vencido","OK")</f>
        <v>OK</v>
      </c>
      <c r="O8" s="105" t="s">
        <v>181</v>
      </c>
      <c r="P8" s="106" t="s">
        <v>181</v>
      </c>
      <c r="Q8" s="105" t="s">
        <v>181</v>
      </c>
      <c r="R8" s="106" t="s">
        <v>181</v>
      </c>
      <c r="S8" s="105" t="s">
        <v>181</v>
      </c>
      <c r="T8" s="106" t="s">
        <v>181</v>
      </c>
      <c r="U8" s="105" t="s">
        <v>181</v>
      </c>
      <c r="V8" s="106" t="s">
        <v>181</v>
      </c>
      <c r="W8" s="105" t="s">
        <v>181</v>
      </c>
      <c r="X8" s="106" t="s">
        <v>181</v>
      </c>
      <c r="Y8" s="105" t="s">
        <v>181</v>
      </c>
      <c r="Z8" s="106" t="s">
        <v>181</v>
      </c>
      <c r="AA8" s="105" t="s">
        <v>181</v>
      </c>
      <c r="AB8" s="106" t="s">
        <v>181</v>
      </c>
      <c r="AC8" s="105" t="s">
        <v>181</v>
      </c>
      <c r="AD8" s="106" t="s">
        <v>181</v>
      </c>
      <c r="AE8" s="105" t="s">
        <v>181</v>
      </c>
      <c r="AF8" s="106" t="s">
        <v>181</v>
      </c>
      <c r="AG8" s="105" t="s">
        <v>181</v>
      </c>
      <c r="AH8" s="106" t="s">
        <v>181</v>
      </c>
      <c r="AI8" s="105" t="s">
        <v>181</v>
      </c>
      <c r="AJ8" s="106" t="s">
        <v>181</v>
      </c>
      <c r="AK8" s="105" t="s">
        <v>181</v>
      </c>
      <c r="AL8" s="106" t="s">
        <v>181</v>
      </c>
    </row>
    <row r="9" spans="1:38" s="1" customFormat="1" ht="15.75" thickBot="1" x14ac:dyDescent="0.3">
      <c r="A9" s="165">
        <v>5</v>
      </c>
      <c r="B9" s="25" t="s">
        <v>323</v>
      </c>
      <c r="C9" s="25" t="s">
        <v>232</v>
      </c>
      <c r="D9" s="26">
        <v>43616</v>
      </c>
      <c r="E9" s="26">
        <v>45173</v>
      </c>
      <c r="F9" s="71" t="s">
        <v>13</v>
      </c>
      <c r="G9" s="91" t="s">
        <v>89</v>
      </c>
      <c r="H9" s="92" t="s">
        <v>7</v>
      </c>
      <c r="I9" s="106">
        <v>712.18</v>
      </c>
      <c r="J9" s="27" t="s">
        <v>324</v>
      </c>
      <c r="K9" s="27" t="s">
        <v>145</v>
      </c>
      <c r="L9" s="25" t="s">
        <v>78</v>
      </c>
      <c r="M9" s="25"/>
      <c r="N9" s="25" t="s">
        <v>319</v>
      </c>
      <c r="O9" s="105">
        <v>46027</v>
      </c>
      <c r="P9" s="106">
        <v>712.18</v>
      </c>
      <c r="Q9" s="105">
        <v>46055</v>
      </c>
      <c r="R9" s="106">
        <v>712.18</v>
      </c>
      <c r="S9" s="105">
        <v>46083</v>
      </c>
      <c r="T9" s="106">
        <v>712.18</v>
      </c>
      <c r="U9" s="105">
        <v>46113</v>
      </c>
      <c r="V9" s="106">
        <v>712.18</v>
      </c>
      <c r="W9" s="105">
        <v>46146</v>
      </c>
      <c r="X9" s="106">
        <v>712.18</v>
      </c>
      <c r="Y9" s="105">
        <v>46175</v>
      </c>
      <c r="Z9" s="106">
        <v>712.18</v>
      </c>
      <c r="AA9" s="105">
        <v>46204</v>
      </c>
      <c r="AB9" s="106">
        <v>712.18</v>
      </c>
      <c r="AC9" s="105">
        <v>46237</v>
      </c>
      <c r="AD9" s="106">
        <v>712.18</v>
      </c>
      <c r="AE9" s="105" t="s">
        <v>181</v>
      </c>
      <c r="AF9" s="106" t="s">
        <v>181</v>
      </c>
      <c r="AG9" s="105" t="s">
        <v>181</v>
      </c>
      <c r="AH9" s="106" t="s">
        <v>181</v>
      </c>
      <c r="AI9" s="105" t="s">
        <v>181</v>
      </c>
      <c r="AJ9" s="106" t="s">
        <v>181</v>
      </c>
      <c r="AK9" s="105" t="s">
        <v>181</v>
      </c>
      <c r="AL9" s="106" t="s">
        <v>181</v>
      </c>
    </row>
    <row r="10" spans="1:38" s="1" customFormat="1" x14ac:dyDescent="0.25">
      <c r="A10" s="166" t="s">
        <v>349</v>
      </c>
      <c r="B10" s="25" t="s">
        <v>212</v>
      </c>
      <c r="C10" s="25"/>
      <c r="D10" s="26"/>
      <c r="E10" s="26" t="s">
        <v>181</v>
      </c>
      <c r="F10" s="71" t="s">
        <v>181</v>
      </c>
      <c r="G10" s="79" t="s">
        <v>218</v>
      </c>
      <c r="H10" s="80">
        <v>46277</v>
      </c>
      <c r="I10" s="106" t="s">
        <v>181</v>
      </c>
      <c r="J10" s="27"/>
      <c r="K10" s="27"/>
      <c r="L10" s="25" t="s">
        <v>78</v>
      </c>
      <c r="M10" s="25"/>
      <c r="N10" s="25" t="str">
        <f ca="1">IF($H10&lt;TODAY(),"Vencido","OK")</f>
        <v>OK</v>
      </c>
      <c r="O10" s="105" t="s">
        <v>181</v>
      </c>
      <c r="P10" s="106" t="s">
        <v>181</v>
      </c>
      <c r="Q10" s="105" t="s">
        <v>181</v>
      </c>
      <c r="R10" s="106" t="s">
        <v>181</v>
      </c>
      <c r="S10" s="105" t="s">
        <v>181</v>
      </c>
      <c r="T10" s="106" t="s">
        <v>181</v>
      </c>
      <c r="U10" s="105" t="s">
        <v>181</v>
      </c>
      <c r="V10" s="106" t="s">
        <v>181</v>
      </c>
      <c r="W10" s="105" t="s">
        <v>181</v>
      </c>
      <c r="X10" s="106" t="s">
        <v>181</v>
      </c>
      <c r="Y10" s="105" t="s">
        <v>181</v>
      </c>
      <c r="Z10" s="106" t="s">
        <v>181</v>
      </c>
      <c r="AA10" s="105" t="s">
        <v>181</v>
      </c>
      <c r="AB10" s="106" t="s">
        <v>181</v>
      </c>
      <c r="AC10" s="105" t="s">
        <v>181</v>
      </c>
      <c r="AD10" s="106" t="s">
        <v>181</v>
      </c>
      <c r="AE10" s="105" t="s">
        <v>181</v>
      </c>
      <c r="AF10" s="106" t="s">
        <v>181</v>
      </c>
      <c r="AG10" s="105" t="s">
        <v>181</v>
      </c>
      <c r="AH10" s="106" t="s">
        <v>181</v>
      </c>
      <c r="AI10" s="105" t="s">
        <v>181</v>
      </c>
      <c r="AJ10" s="106" t="s">
        <v>181</v>
      </c>
      <c r="AK10" s="105" t="s">
        <v>181</v>
      </c>
      <c r="AL10" s="106" t="s">
        <v>181</v>
      </c>
    </row>
    <row r="11" spans="1:38" s="1" customFormat="1" ht="15.75" thickBot="1" x14ac:dyDescent="0.3">
      <c r="A11" s="165" t="s">
        <v>350</v>
      </c>
      <c r="B11" s="25" t="s">
        <v>213</v>
      </c>
      <c r="C11" s="25"/>
      <c r="D11" s="26"/>
      <c r="E11" s="26" t="s">
        <v>181</v>
      </c>
      <c r="F11" s="71" t="s">
        <v>181</v>
      </c>
      <c r="G11" s="76" t="s">
        <v>218</v>
      </c>
      <c r="H11" s="77">
        <v>46277</v>
      </c>
      <c r="I11" s="106" t="s">
        <v>181</v>
      </c>
      <c r="J11" s="27"/>
      <c r="K11" s="27"/>
      <c r="L11" s="25" t="s">
        <v>78</v>
      </c>
      <c r="M11" s="25"/>
      <c r="N11" s="25" t="str">
        <f ca="1">IF($H11&lt;TODAY(),"Vencido","OK")</f>
        <v>OK</v>
      </c>
      <c r="O11" s="105" t="s">
        <v>181</v>
      </c>
      <c r="P11" s="106" t="s">
        <v>181</v>
      </c>
      <c r="Q11" s="105" t="s">
        <v>181</v>
      </c>
      <c r="R11" s="106" t="s">
        <v>181</v>
      </c>
      <c r="S11" s="105" t="s">
        <v>181</v>
      </c>
      <c r="T11" s="106" t="s">
        <v>181</v>
      </c>
      <c r="U11" s="105" t="s">
        <v>181</v>
      </c>
      <c r="V11" s="106" t="s">
        <v>181</v>
      </c>
      <c r="W11" s="105" t="s">
        <v>181</v>
      </c>
      <c r="X11" s="106" t="s">
        <v>181</v>
      </c>
      <c r="Y11" s="105" t="s">
        <v>181</v>
      </c>
      <c r="Z11" s="106" t="s">
        <v>181</v>
      </c>
      <c r="AA11" s="105" t="s">
        <v>181</v>
      </c>
      <c r="AB11" s="106" t="s">
        <v>181</v>
      </c>
      <c r="AC11" s="105" t="s">
        <v>181</v>
      </c>
      <c r="AD11" s="106" t="s">
        <v>181</v>
      </c>
      <c r="AE11" s="105" t="s">
        <v>181</v>
      </c>
      <c r="AF11" s="106" t="s">
        <v>181</v>
      </c>
      <c r="AG11" s="105" t="s">
        <v>181</v>
      </c>
      <c r="AH11" s="106" t="s">
        <v>181</v>
      </c>
      <c r="AI11" s="105" t="s">
        <v>181</v>
      </c>
      <c r="AJ11" s="106" t="s">
        <v>181</v>
      </c>
      <c r="AK11" s="105" t="s">
        <v>181</v>
      </c>
      <c r="AL11" s="106" t="s">
        <v>181</v>
      </c>
    </row>
    <row r="12" spans="1:38" s="1" customFormat="1" ht="15.75" thickBot="1" x14ac:dyDescent="0.3">
      <c r="A12" s="166">
        <v>6</v>
      </c>
      <c r="B12" s="25" t="s">
        <v>44</v>
      </c>
      <c r="C12" s="25" t="s">
        <v>86</v>
      </c>
      <c r="D12" s="26">
        <v>38979</v>
      </c>
      <c r="E12" s="162" t="s">
        <v>341</v>
      </c>
      <c r="F12" s="26" t="s">
        <v>6</v>
      </c>
      <c r="G12" s="73" t="s">
        <v>89</v>
      </c>
      <c r="H12" s="73" t="s">
        <v>211</v>
      </c>
      <c r="I12" s="106">
        <v>2120.87</v>
      </c>
      <c r="J12" s="27" t="s">
        <v>330</v>
      </c>
      <c r="K12" s="27" t="s">
        <v>110</v>
      </c>
      <c r="L12" s="25" t="s">
        <v>78</v>
      </c>
      <c r="M12" s="25"/>
      <c r="N12" s="25" t="s">
        <v>319</v>
      </c>
      <c r="O12" s="105">
        <v>46034</v>
      </c>
      <c r="P12" s="106">
        <v>2120.87</v>
      </c>
      <c r="Q12" s="105">
        <v>46058</v>
      </c>
      <c r="R12" s="106">
        <v>2120.87</v>
      </c>
      <c r="S12" s="105">
        <v>46086</v>
      </c>
      <c r="T12" s="106">
        <v>2120.87</v>
      </c>
      <c r="U12" s="105">
        <v>46115</v>
      </c>
      <c r="V12" s="106">
        <v>2120.87</v>
      </c>
      <c r="W12" s="105">
        <v>46146</v>
      </c>
      <c r="X12" s="106">
        <v>2120.87</v>
      </c>
      <c r="Y12" s="105">
        <v>46178</v>
      </c>
      <c r="Z12" s="106">
        <v>2120.87</v>
      </c>
      <c r="AA12" s="105">
        <v>46209</v>
      </c>
      <c r="AB12" s="106">
        <v>2120.87</v>
      </c>
      <c r="AC12" s="105">
        <v>46239</v>
      </c>
      <c r="AD12" s="106">
        <v>2120.87</v>
      </c>
      <c r="AE12" s="105" t="s">
        <v>181</v>
      </c>
      <c r="AF12" s="106" t="s">
        <v>181</v>
      </c>
      <c r="AG12" s="105" t="s">
        <v>181</v>
      </c>
      <c r="AH12" s="106" t="s">
        <v>181</v>
      </c>
      <c r="AI12" s="105" t="s">
        <v>181</v>
      </c>
      <c r="AJ12" s="106" t="s">
        <v>181</v>
      </c>
      <c r="AK12" s="105" t="s">
        <v>181</v>
      </c>
      <c r="AL12" s="106" t="s">
        <v>181</v>
      </c>
    </row>
    <row r="13" spans="1:38" s="1" customFormat="1" x14ac:dyDescent="0.25">
      <c r="A13" s="165" t="s">
        <v>351</v>
      </c>
      <c r="B13" s="25" t="s">
        <v>212</v>
      </c>
      <c r="C13" s="25"/>
      <c r="D13" s="26"/>
      <c r="E13" s="26" t="s">
        <v>181</v>
      </c>
      <c r="F13" s="71" t="s">
        <v>181</v>
      </c>
      <c r="G13" s="74" t="s">
        <v>218</v>
      </c>
      <c r="H13" s="75">
        <v>46266</v>
      </c>
      <c r="I13" s="106" t="s">
        <v>181</v>
      </c>
      <c r="J13" s="27"/>
      <c r="K13" s="27"/>
      <c r="L13" s="25" t="s">
        <v>78</v>
      </c>
      <c r="M13" s="25"/>
      <c r="N13" s="25" t="str">
        <f ca="1">IF($H13&lt;TODAY(),"Vencido","OK")</f>
        <v>OK</v>
      </c>
      <c r="O13" s="105" t="s">
        <v>181</v>
      </c>
      <c r="P13" s="106" t="s">
        <v>181</v>
      </c>
      <c r="Q13" s="105" t="s">
        <v>181</v>
      </c>
      <c r="R13" s="106" t="s">
        <v>181</v>
      </c>
      <c r="S13" s="105" t="s">
        <v>181</v>
      </c>
      <c r="T13" s="106" t="s">
        <v>181</v>
      </c>
      <c r="U13" s="105" t="s">
        <v>181</v>
      </c>
      <c r="V13" s="106" t="s">
        <v>181</v>
      </c>
      <c r="W13" s="105" t="s">
        <v>181</v>
      </c>
      <c r="X13" s="106" t="s">
        <v>181</v>
      </c>
      <c r="Y13" s="105" t="s">
        <v>181</v>
      </c>
      <c r="Z13" s="106" t="s">
        <v>181</v>
      </c>
      <c r="AA13" s="105" t="s">
        <v>181</v>
      </c>
      <c r="AB13" s="106" t="s">
        <v>181</v>
      </c>
      <c r="AC13" s="105" t="s">
        <v>181</v>
      </c>
      <c r="AD13" s="106" t="s">
        <v>181</v>
      </c>
      <c r="AE13" s="105" t="s">
        <v>181</v>
      </c>
      <c r="AF13" s="106" t="s">
        <v>181</v>
      </c>
      <c r="AG13" s="105" t="s">
        <v>181</v>
      </c>
      <c r="AH13" s="106" t="s">
        <v>181</v>
      </c>
      <c r="AI13" s="105" t="s">
        <v>181</v>
      </c>
      <c r="AJ13" s="106" t="s">
        <v>181</v>
      </c>
      <c r="AK13" s="105" t="s">
        <v>181</v>
      </c>
      <c r="AL13" s="106" t="s">
        <v>181</v>
      </c>
    </row>
    <row r="14" spans="1:38" s="1" customFormat="1" ht="15.75" thickBot="1" x14ac:dyDescent="0.3">
      <c r="A14" s="166" t="s">
        <v>352</v>
      </c>
      <c r="B14" s="25" t="s">
        <v>213</v>
      </c>
      <c r="C14" s="25"/>
      <c r="D14" s="26"/>
      <c r="E14" s="26" t="s">
        <v>181</v>
      </c>
      <c r="F14" s="71" t="s">
        <v>181</v>
      </c>
      <c r="G14" s="76" t="s">
        <v>218</v>
      </c>
      <c r="H14" s="77">
        <v>46266</v>
      </c>
      <c r="I14" s="106" t="s">
        <v>181</v>
      </c>
      <c r="J14" s="27"/>
      <c r="K14" s="27"/>
      <c r="L14" s="25" t="s">
        <v>78</v>
      </c>
      <c r="M14" s="25"/>
      <c r="N14" s="25" t="str">
        <f ca="1">IF($H14&lt;TODAY(),"Vencido","OK")</f>
        <v>OK</v>
      </c>
      <c r="O14" s="105" t="s">
        <v>181</v>
      </c>
      <c r="P14" s="106" t="s">
        <v>181</v>
      </c>
      <c r="Q14" s="105" t="s">
        <v>181</v>
      </c>
      <c r="R14" s="106" t="s">
        <v>181</v>
      </c>
      <c r="S14" s="105" t="s">
        <v>181</v>
      </c>
      <c r="T14" s="106" t="s">
        <v>181</v>
      </c>
      <c r="U14" s="105" t="s">
        <v>181</v>
      </c>
      <c r="V14" s="106" t="s">
        <v>181</v>
      </c>
      <c r="W14" s="105" t="s">
        <v>181</v>
      </c>
      <c r="X14" s="106" t="s">
        <v>181</v>
      </c>
      <c r="Y14" s="105" t="s">
        <v>181</v>
      </c>
      <c r="Z14" s="106" t="s">
        <v>181</v>
      </c>
      <c r="AA14" s="105" t="s">
        <v>181</v>
      </c>
      <c r="AB14" s="106" t="s">
        <v>181</v>
      </c>
      <c r="AC14" s="105" t="s">
        <v>181</v>
      </c>
      <c r="AD14" s="106" t="s">
        <v>181</v>
      </c>
      <c r="AE14" s="105" t="s">
        <v>181</v>
      </c>
      <c r="AF14" s="106" t="s">
        <v>181</v>
      </c>
      <c r="AG14" s="105" t="s">
        <v>181</v>
      </c>
      <c r="AH14" s="106" t="s">
        <v>181</v>
      </c>
      <c r="AI14" s="105" t="s">
        <v>181</v>
      </c>
      <c r="AJ14" s="106" t="s">
        <v>181</v>
      </c>
      <c r="AK14" s="105" t="s">
        <v>181</v>
      </c>
      <c r="AL14" s="106" t="s">
        <v>181</v>
      </c>
    </row>
    <row r="15" spans="1:38" s="1" customFormat="1" x14ac:dyDescent="0.25">
      <c r="A15" s="165">
        <v>7</v>
      </c>
      <c r="B15" s="25" t="s">
        <v>230</v>
      </c>
      <c r="C15" s="25" t="s">
        <v>264</v>
      </c>
      <c r="D15" s="26">
        <v>43115</v>
      </c>
      <c r="E15" s="26">
        <v>44344</v>
      </c>
      <c r="F15" s="71" t="s">
        <v>13</v>
      </c>
      <c r="G15" s="25" t="s">
        <v>217</v>
      </c>
      <c r="H15" s="25" t="s">
        <v>7</v>
      </c>
      <c r="I15" s="106">
        <v>3500</v>
      </c>
      <c r="J15" s="27" t="s">
        <v>191</v>
      </c>
      <c r="K15" s="27" t="s">
        <v>140</v>
      </c>
      <c r="L15" s="25" t="s">
        <v>78</v>
      </c>
      <c r="M15" s="25"/>
      <c r="N15" s="25" t="s">
        <v>319</v>
      </c>
      <c r="O15" s="105">
        <v>46034</v>
      </c>
      <c r="P15" s="106">
        <v>3500</v>
      </c>
      <c r="Q15" s="105">
        <v>46063</v>
      </c>
      <c r="R15" s="106">
        <v>3500</v>
      </c>
      <c r="S15" s="105">
        <v>46091</v>
      </c>
      <c r="T15" s="106">
        <v>3500</v>
      </c>
      <c r="U15" s="105">
        <v>46114</v>
      </c>
      <c r="V15" s="106">
        <v>3500</v>
      </c>
      <c r="W15" s="105">
        <v>46146</v>
      </c>
      <c r="X15" s="106">
        <v>3500</v>
      </c>
      <c r="Y15" s="105">
        <v>46175</v>
      </c>
      <c r="Z15" s="106">
        <v>3500</v>
      </c>
      <c r="AA15" s="105">
        <v>46211</v>
      </c>
      <c r="AB15" s="106">
        <v>3500</v>
      </c>
      <c r="AC15" s="105" t="s">
        <v>181</v>
      </c>
      <c r="AD15" s="106" t="s">
        <v>181</v>
      </c>
      <c r="AE15" s="105" t="s">
        <v>181</v>
      </c>
      <c r="AF15" s="106" t="s">
        <v>181</v>
      </c>
      <c r="AG15" s="105" t="s">
        <v>181</v>
      </c>
      <c r="AH15" s="106" t="s">
        <v>181</v>
      </c>
      <c r="AI15" s="105" t="s">
        <v>181</v>
      </c>
      <c r="AJ15" s="106" t="s">
        <v>181</v>
      </c>
      <c r="AK15" s="105" t="s">
        <v>181</v>
      </c>
      <c r="AL15" s="106" t="s">
        <v>181</v>
      </c>
    </row>
    <row r="16" spans="1:38" s="1" customFormat="1" x14ac:dyDescent="0.25">
      <c r="A16" s="25">
        <v>8</v>
      </c>
      <c r="B16" s="25" t="s">
        <v>265</v>
      </c>
      <c r="C16" s="25" t="s">
        <v>268</v>
      </c>
      <c r="D16" s="26">
        <v>43446</v>
      </c>
      <c r="E16" s="26">
        <v>45551</v>
      </c>
      <c r="F16" s="26" t="s">
        <v>28</v>
      </c>
      <c r="G16" s="25" t="s">
        <v>217</v>
      </c>
      <c r="H16" s="73" t="s">
        <v>211</v>
      </c>
      <c r="I16" s="106">
        <v>1009.75</v>
      </c>
      <c r="J16" s="27" t="s">
        <v>267</v>
      </c>
      <c r="K16" s="27" t="s">
        <v>111</v>
      </c>
      <c r="L16" s="25" t="s">
        <v>78</v>
      </c>
      <c r="M16" s="25"/>
      <c r="N16" s="25" t="s">
        <v>319</v>
      </c>
      <c r="O16" s="105">
        <v>46035</v>
      </c>
      <c r="P16" s="106">
        <v>1009.75</v>
      </c>
      <c r="Q16" s="105">
        <v>46063</v>
      </c>
      <c r="R16" s="106">
        <v>1009.75</v>
      </c>
      <c r="S16" s="105">
        <v>46100</v>
      </c>
      <c r="T16" s="106">
        <v>1009.75</v>
      </c>
      <c r="U16" s="105">
        <v>46126</v>
      </c>
      <c r="V16" s="106">
        <v>1009.75</v>
      </c>
      <c r="W16" s="105">
        <v>46154</v>
      </c>
      <c r="X16" s="106">
        <v>1009.75</v>
      </c>
      <c r="Y16" s="105">
        <v>46197</v>
      </c>
      <c r="Z16" s="106">
        <v>1073.8599999999999</v>
      </c>
      <c r="AA16" s="105">
        <v>46216</v>
      </c>
      <c r="AB16" s="106">
        <v>1073.8599999999999</v>
      </c>
      <c r="AC16" s="105" t="s">
        <v>181</v>
      </c>
      <c r="AD16" s="106" t="s">
        <v>181</v>
      </c>
      <c r="AE16" s="105" t="s">
        <v>181</v>
      </c>
      <c r="AF16" s="106" t="s">
        <v>181</v>
      </c>
      <c r="AG16" s="105" t="s">
        <v>181</v>
      </c>
      <c r="AH16" s="106" t="s">
        <v>181</v>
      </c>
      <c r="AI16" s="105" t="s">
        <v>181</v>
      </c>
      <c r="AJ16" s="106" t="s">
        <v>181</v>
      </c>
      <c r="AK16" s="105" t="s">
        <v>181</v>
      </c>
      <c r="AL16" s="106" t="s">
        <v>181</v>
      </c>
    </row>
    <row r="17" spans="1:38" s="1" customFormat="1" x14ac:dyDescent="0.25">
      <c r="A17" s="155">
        <v>9</v>
      </c>
      <c r="B17" s="2" t="s">
        <v>343</v>
      </c>
      <c r="C17" s="2" t="s">
        <v>344</v>
      </c>
      <c r="D17" s="3">
        <v>41459</v>
      </c>
      <c r="E17" s="162" t="s">
        <v>341</v>
      </c>
      <c r="F17" s="3" t="s">
        <v>6</v>
      </c>
      <c r="G17" s="2" t="s">
        <v>6</v>
      </c>
      <c r="H17" s="2" t="s">
        <v>341</v>
      </c>
      <c r="I17" s="152" t="s">
        <v>321</v>
      </c>
      <c r="J17" s="4" t="s">
        <v>193</v>
      </c>
      <c r="K17" s="4" t="s">
        <v>147</v>
      </c>
      <c r="L17" s="2" t="s">
        <v>78</v>
      </c>
      <c r="M17" s="68" t="s">
        <v>215</v>
      </c>
      <c r="N17" s="68" t="s">
        <v>318</v>
      </c>
      <c r="O17" s="152" t="s">
        <v>321</v>
      </c>
      <c r="P17" s="152" t="s">
        <v>321</v>
      </c>
      <c r="Q17" s="152" t="s">
        <v>321</v>
      </c>
      <c r="R17" s="152" t="s">
        <v>321</v>
      </c>
      <c r="S17" s="152" t="s">
        <v>321</v>
      </c>
      <c r="T17" s="152" t="s">
        <v>321</v>
      </c>
      <c r="U17" s="152" t="s">
        <v>321</v>
      </c>
      <c r="V17" s="152" t="s">
        <v>321</v>
      </c>
      <c r="W17" s="152" t="s">
        <v>321</v>
      </c>
      <c r="X17" s="152" t="s">
        <v>321</v>
      </c>
      <c r="Y17" s="152" t="s">
        <v>321</v>
      </c>
      <c r="Z17" s="152" t="s">
        <v>321</v>
      </c>
      <c r="AA17" s="152" t="s">
        <v>321</v>
      </c>
      <c r="AB17" s="152" t="s">
        <v>321</v>
      </c>
      <c r="AC17" s="152" t="s">
        <v>321</v>
      </c>
      <c r="AD17" s="152" t="s">
        <v>321</v>
      </c>
      <c r="AE17" s="152" t="s">
        <v>181</v>
      </c>
      <c r="AF17" s="152" t="s">
        <v>181</v>
      </c>
      <c r="AG17" s="152" t="s">
        <v>181</v>
      </c>
      <c r="AH17" s="152" t="s">
        <v>181</v>
      </c>
      <c r="AI17" s="152" t="s">
        <v>181</v>
      </c>
      <c r="AJ17" s="152" t="s">
        <v>181</v>
      </c>
      <c r="AK17" s="152" t="s">
        <v>181</v>
      </c>
      <c r="AL17" s="152" t="s">
        <v>181</v>
      </c>
    </row>
    <row r="18" spans="1:38" s="1" customFormat="1" x14ac:dyDescent="0.25">
      <c r="A18" s="2">
        <v>10</v>
      </c>
      <c r="B18" s="2" t="s">
        <v>150</v>
      </c>
      <c r="C18" s="2" t="s">
        <v>151</v>
      </c>
      <c r="D18" s="3">
        <v>43060</v>
      </c>
      <c r="E18" s="26">
        <v>44635</v>
      </c>
      <c r="F18" s="3" t="s">
        <v>28</v>
      </c>
      <c r="G18" s="25" t="s">
        <v>89</v>
      </c>
      <c r="H18" s="2" t="s">
        <v>15</v>
      </c>
      <c r="I18" s="106">
        <v>8084.07</v>
      </c>
      <c r="J18" s="27" t="s">
        <v>194</v>
      </c>
      <c r="K18" s="27" t="s">
        <v>110</v>
      </c>
      <c r="L18" s="2" t="s">
        <v>78</v>
      </c>
      <c r="M18" s="2"/>
      <c r="N18" s="2" t="s">
        <v>319</v>
      </c>
      <c r="O18" s="105">
        <v>46027</v>
      </c>
      <c r="P18" s="106">
        <v>7739.63</v>
      </c>
      <c r="Q18" s="105">
        <v>46055</v>
      </c>
      <c r="R18" s="106">
        <v>7739.63</v>
      </c>
      <c r="S18" s="105">
        <v>46082</v>
      </c>
      <c r="T18" s="106">
        <v>8084.07</v>
      </c>
      <c r="U18" s="105">
        <v>46113</v>
      </c>
      <c r="V18" s="106">
        <v>8084.07</v>
      </c>
      <c r="W18" s="105">
        <v>46144</v>
      </c>
      <c r="X18" s="106">
        <v>8084.07</v>
      </c>
      <c r="Y18" s="105">
        <v>46195</v>
      </c>
      <c r="Z18" s="106">
        <v>8084.07</v>
      </c>
      <c r="AA18" s="105">
        <v>46204</v>
      </c>
      <c r="AB18" s="106">
        <v>8084.07</v>
      </c>
      <c r="AC18" s="105" t="s">
        <v>181</v>
      </c>
      <c r="AD18" s="106" t="s">
        <v>181</v>
      </c>
      <c r="AE18" s="105" t="s">
        <v>181</v>
      </c>
      <c r="AF18" s="106" t="s">
        <v>181</v>
      </c>
      <c r="AG18" s="105" t="s">
        <v>181</v>
      </c>
      <c r="AH18" s="106" t="s">
        <v>181</v>
      </c>
      <c r="AI18" s="105" t="s">
        <v>181</v>
      </c>
      <c r="AJ18" s="106" t="s">
        <v>181</v>
      </c>
      <c r="AK18" s="105" t="s">
        <v>181</v>
      </c>
      <c r="AL18" s="106" t="s">
        <v>181</v>
      </c>
    </row>
    <row r="19" spans="1:38" s="1" customFormat="1" x14ac:dyDescent="0.25">
      <c r="A19" s="155">
        <v>11</v>
      </c>
      <c r="B19" s="2" t="s">
        <v>331</v>
      </c>
      <c r="C19" s="2" t="s">
        <v>332</v>
      </c>
      <c r="D19" s="26">
        <v>45260</v>
      </c>
      <c r="E19" s="162" t="s">
        <v>341</v>
      </c>
      <c r="F19" s="3" t="s">
        <v>28</v>
      </c>
      <c r="G19" s="25" t="s">
        <v>217</v>
      </c>
      <c r="H19" s="73" t="s">
        <v>211</v>
      </c>
      <c r="I19" s="106">
        <v>576.44000000000005</v>
      </c>
      <c r="J19" s="27" t="s">
        <v>345</v>
      </c>
      <c r="K19" s="27" t="s">
        <v>335</v>
      </c>
      <c r="L19" s="2" t="s">
        <v>78</v>
      </c>
      <c r="M19" s="2"/>
      <c r="N19" s="2" t="s">
        <v>319</v>
      </c>
      <c r="O19" s="105">
        <v>46043</v>
      </c>
      <c r="P19" s="106">
        <v>576.44000000000005</v>
      </c>
      <c r="Q19" s="105">
        <v>46064</v>
      </c>
      <c r="R19" s="106">
        <v>576.44000000000005</v>
      </c>
      <c r="S19" s="105">
        <v>46087</v>
      </c>
      <c r="T19" s="106">
        <v>576.44000000000005</v>
      </c>
      <c r="U19" s="105">
        <v>46120</v>
      </c>
      <c r="V19" s="106">
        <v>576.44000000000005</v>
      </c>
      <c r="W19" s="105">
        <v>46154</v>
      </c>
      <c r="X19" s="106">
        <v>576.44000000000005</v>
      </c>
      <c r="Y19" s="105">
        <v>46184</v>
      </c>
      <c r="Z19" s="106">
        <v>576.44000000000005</v>
      </c>
      <c r="AA19" s="105">
        <v>46213</v>
      </c>
      <c r="AB19" s="106">
        <v>576.44000000000005</v>
      </c>
      <c r="AC19" s="105">
        <v>46246</v>
      </c>
      <c r="AD19" s="106">
        <v>830</v>
      </c>
      <c r="AE19" s="105" t="s">
        <v>181</v>
      </c>
      <c r="AF19" s="106" t="s">
        <v>181</v>
      </c>
      <c r="AG19" s="105" t="s">
        <v>181</v>
      </c>
      <c r="AH19" s="106" t="s">
        <v>181</v>
      </c>
      <c r="AI19" s="105" t="s">
        <v>181</v>
      </c>
      <c r="AJ19" s="106" t="s">
        <v>181</v>
      </c>
      <c r="AK19" s="105" t="s">
        <v>181</v>
      </c>
      <c r="AL19" s="106" t="s">
        <v>181</v>
      </c>
    </row>
    <row r="20" spans="1:38" s="1" customFormat="1" x14ac:dyDescent="0.25">
      <c r="A20" s="2">
        <v>12</v>
      </c>
      <c r="B20" s="2" t="s">
        <v>37</v>
      </c>
      <c r="C20" s="2" t="s">
        <v>357</v>
      </c>
      <c r="D20" s="3">
        <v>34719</v>
      </c>
      <c r="E20" s="115" t="s">
        <v>342</v>
      </c>
      <c r="F20" s="3" t="s">
        <v>341</v>
      </c>
      <c r="G20" s="68" t="s">
        <v>277</v>
      </c>
      <c r="H20" s="2" t="s">
        <v>15</v>
      </c>
      <c r="I20" s="106" t="s">
        <v>139</v>
      </c>
      <c r="J20" s="4" t="s">
        <v>195</v>
      </c>
      <c r="K20" s="4" t="s">
        <v>170</v>
      </c>
      <c r="L20" s="2" t="s">
        <v>78</v>
      </c>
      <c r="M20" s="2"/>
      <c r="N20" s="2" t="s">
        <v>320</v>
      </c>
      <c r="O20" s="105">
        <v>46044</v>
      </c>
      <c r="P20" s="106" t="s">
        <v>364</v>
      </c>
      <c r="Q20" s="105">
        <v>46078</v>
      </c>
      <c r="R20" s="106" t="s">
        <v>364</v>
      </c>
      <c r="S20" s="105">
        <v>46107</v>
      </c>
      <c r="T20" s="106" t="s">
        <v>364</v>
      </c>
      <c r="U20" s="105">
        <v>46138</v>
      </c>
      <c r="V20" s="106" t="s">
        <v>364</v>
      </c>
      <c r="W20" s="105">
        <v>46168</v>
      </c>
      <c r="X20" s="106" t="s">
        <v>364</v>
      </c>
      <c r="Y20" s="105">
        <v>46193</v>
      </c>
      <c r="Z20" s="168" t="s">
        <v>364</v>
      </c>
      <c r="AA20" s="105">
        <v>46228</v>
      </c>
      <c r="AB20" s="168" t="s">
        <v>364</v>
      </c>
      <c r="AC20" s="105" t="s">
        <v>181</v>
      </c>
      <c r="AD20" s="106" t="s">
        <v>181</v>
      </c>
      <c r="AE20" s="105" t="s">
        <v>181</v>
      </c>
      <c r="AF20" s="106" t="s">
        <v>181</v>
      </c>
      <c r="AG20" s="105" t="s">
        <v>181</v>
      </c>
      <c r="AH20" s="106" t="s">
        <v>181</v>
      </c>
      <c r="AI20" s="105" t="s">
        <v>181</v>
      </c>
      <c r="AJ20" s="106" t="s">
        <v>181</v>
      </c>
      <c r="AK20" s="105" t="s">
        <v>181</v>
      </c>
      <c r="AL20" s="106" t="s">
        <v>181</v>
      </c>
    </row>
    <row r="21" spans="1:38" s="1" customFormat="1" x14ac:dyDescent="0.25">
      <c r="A21" s="155">
        <v>13</v>
      </c>
      <c r="B21" s="2" t="s">
        <v>353</v>
      </c>
      <c r="C21" s="2" t="s">
        <v>358</v>
      </c>
      <c r="D21" s="3" t="s">
        <v>181</v>
      </c>
      <c r="E21" s="163" t="s">
        <v>341</v>
      </c>
      <c r="F21" s="3" t="s">
        <v>341</v>
      </c>
      <c r="G21" s="68" t="s">
        <v>277</v>
      </c>
      <c r="H21" s="2" t="s">
        <v>15</v>
      </c>
      <c r="I21" s="106" t="s">
        <v>139</v>
      </c>
      <c r="J21" s="4" t="s">
        <v>198</v>
      </c>
      <c r="K21" s="4" t="s">
        <v>170</v>
      </c>
      <c r="L21" s="2" t="s">
        <v>78</v>
      </c>
      <c r="M21" s="2"/>
      <c r="N21" s="2" t="s">
        <v>320</v>
      </c>
      <c r="O21" s="105">
        <v>46044</v>
      </c>
      <c r="P21" s="106" t="s">
        <v>364</v>
      </c>
      <c r="Q21" s="105">
        <v>46078</v>
      </c>
      <c r="R21" s="106" t="s">
        <v>364</v>
      </c>
      <c r="S21" s="105">
        <v>46107</v>
      </c>
      <c r="T21" s="106" t="s">
        <v>364</v>
      </c>
      <c r="U21" s="105">
        <v>46138</v>
      </c>
      <c r="V21" s="106" t="s">
        <v>364</v>
      </c>
      <c r="W21" s="105">
        <v>46167</v>
      </c>
      <c r="X21" s="106" t="s">
        <v>364</v>
      </c>
      <c r="Y21" s="105">
        <v>46197</v>
      </c>
      <c r="Z21" s="168" t="s">
        <v>364</v>
      </c>
      <c r="AA21" s="105">
        <v>46228</v>
      </c>
      <c r="AB21" s="168" t="s">
        <v>364</v>
      </c>
      <c r="AC21" s="105" t="s">
        <v>181</v>
      </c>
      <c r="AD21" s="106" t="s">
        <v>181</v>
      </c>
      <c r="AE21" s="105" t="s">
        <v>181</v>
      </c>
      <c r="AF21" s="106" t="s">
        <v>181</v>
      </c>
      <c r="AG21" s="105" t="s">
        <v>181</v>
      </c>
      <c r="AH21" s="106" t="s">
        <v>181</v>
      </c>
      <c r="AI21" s="105" t="s">
        <v>181</v>
      </c>
      <c r="AJ21" s="106" t="s">
        <v>181</v>
      </c>
      <c r="AK21" s="105" t="s">
        <v>181</v>
      </c>
      <c r="AL21" s="106" t="s">
        <v>181</v>
      </c>
    </row>
    <row r="22" spans="1:38" s="1" customFormat="1" x14ac:dyDescent="0.25">
      <c r="A22" s="2">
        <v>14</v>
      </c>
      <c r="B22" s="2" t="s">
        <v>176</v>
      </c>
      <c r="C22" s="2" t="s">
        <v>179</v>
      </c>
      <c r="D22" s="3" t="s">
        <v>181</v>
      </c>
      <c r="E22" s="163" t="s">
        <v>341</v>
      </c>
      <c r="F22" s="3" t="s">
        <v>341</v>
      </c>
      <c r="G22" s="25" t="s">
        <v>89</v>
      </c>
      <c r="H22" s="2" t="s">
        <v>15</v>
      </c>
      <c r="I22" s="106" t="s">
        <v>139</v>
      </c>
      <c r="J22" s="4" t="s">
        <v>197</v>
      </c>
      <c r="K22" s="4" t="s">
        <v>170</v>
      </c>
      <c r="L22" s="2" t="s">
        <v>78</v>
      </c>
      <c r="M22" s="2"/>
      <c r="N22" s="2" t="s">
        <v>320</v>
      </c>
      <c r="O22" s="105">
        <v>46037</v>
      </c>
      <c r="P22" s="106">
        <v>1107.07</v>
      </c>
      <c r="Q22" s="105">
        <v>46073</v>
      </c>
      <c r="R22" s="106">
        <v>1106.33</v>
      </c>
      <c r="S22" s="105">
        <v>46098</v>
      </c>
      <c r="T22" s="106">
        <v>1125.02</v>
      </c>
      <c r="U22" s="105">
        <v>46127</v>
      </c>
      <c r="V22" s="106">
        <v>1243.24</v>
      </c>
      <c r="W22" s="105">
        <v>46157</v>
      </c>
      <c r="X22" s="106">
        <v>1157.3399999999999</v>
      </c>
      <c r="Y22" s="105">
        <v>46189</v>
      </c>
      <c r="Z22" s="106">
        <v>1257.56</v>
      </c>
      <c r="AA22" s="105">
        <v>46224</v>
      </c>
      <c r="AB22" s="106">
        <v>254.16</v>
      </c>
      <c r="AC22" s="105" t="s">
        <v>181</v>
      </c>
      <c r="AD22" s="106" t="s">
        <v>181</v>
      </c>
      <c r="AE22" s="105" t="s">
        <v>181</v>
      </c>
      <c r="AF22" s="106" t="s">
        <v>181</v>
      </c>
      <c r="AG22" s="105" t="s">
        <v>181</v>
      </c>
      <c r="AH22" s="106" t="s">
        <v>181</v>
      </c>
      <c r="AI22" s="105" t="s">
        <v>181</v>
      </c>
      <c r="AJ22" s="106" t="s">
        <v>181</v>
      </c>
      <c r="AK22" s="105" t="s">
        <v>181</v>
      </c>
      <c r="AL22" s="106" t="s">
        <v>181</v>
      </c>
    </row>
    <row r="23" spans="1:38" s="1" customFormat="1" x14ac:dyDescent="0.25">
      <c r="A23" s="155">
        <v>15</v>
      </c>
      <c r="B23" s="2" t="s">
        <v>339</v>
      </c>
      <c r="C23" s="2" t="s">
        <v>178</v>
      </c>
      <c r="D23" s="3" t="s">
        <v>181</v>
      </c>
      <c r="E23" s="163" t="s">
        <v>341</v>
      </c>
      <c r="F23" s="3" t="s">
        <v>341</v>
      </c>
      <c r="G23" s="25" t="s">
        <v>89</v>
      </c>
      <c r="H23" s="2" t="s">
        <v>15</v>
      </c>
      <c r="I23" s="106" t="s">
        <v>139</v>
      </c>
      <c r="J23" s="4" t="s">
        <v>197</v>
      </c>
      <c r="K23" s="4" t="s">
        <v>170</v>
      </c>
      <c r="L23" s="2" t="s">
        <v>78</v>
      </c>
      <c r="M23" s="2"/>
      <c r="N23" s="2" t="s">
        <v>320</v>
      </c>
      <c r="O23" s="105">
        <v>46037</v>
      </c>
      <c r="P23" s="106">
        <v>251.86</v>
      </c>
      <c r="Q23" s="105">
        <v>46073</v>
      </c>
      <c r="R23" s="106">
        <v>316.79000000000002</v>
      </c>
      <c r="S23" s="105">
        <v>46098</v>
      </c>
      <c r="T23" s="106">
        <v>180.29</v>
      </c>
      <c r="U23" s="105">
        <v>46127</v>
      </c>
      <c r="V23" s="106">
        <v>325.35000000000002</v>
      </c>
      <c r="W23" s="105">
        <v>46157</v>
      </c>
      <c r="X23" s="106">
        <v>368.52</v>
      </c>
      <c r="Y23" s="105">
        <v>46189</v>
      </c>
      <c r="Z23" s="106">
        <v>382.9</v>
      </c>
      <c r="AA23" s="105">
        <v>46218</v>
      </c>
      <c r="AB23" s="106">
        <v>485.52</v>
      </c>
      <c r="AC23" s="105" t="s">
        <v>181</v>
      </c>
      <c r="AD23" s="106" t="s">
        <v>181</v>
      </c>
      <c r="AE23" s="105" t="s">
        <v>181</v>
      </c>
      <c r="AF23" s="106" t="s">
        <v>181</v>
      </c>
      <c r="AG23" s="105" t="s">
        <v>181</v>
      </c>
      <c r="AH23" s="106" t="s">
        <v>181</v>
      </c>
      <c r="AI23" s="105" t="s">
        <v>181</v>
      </c>
      <c r="AJ23" s="106" t="s">
        <v>181</v>
      </c>
      <c r="AK23" s="105" t="s">
        <v>181</v>
      </c>
      <c r="AL23" s="106" t="s">
        <v>181</v>
      </c>
    </row>
    <row r="24" spans="1:38" s="1" customFormat="1" x14ac:dyDescent="0.25">
      <c r="A24" s="2">
        <v>16</v>
      </c>
      <c r="B24" s="2" t="s">
        <v>167</v>
      </c>
      <c r="C24" s="2" t="s">
        <v>182</v>
      </c>
      <c r="D24" s="3" t="s">
        <v>181</v>
      </c>
      <c r="E24" s="163" t="s">
        <v>341</v>
      </c>
      <c r="F24" s="164" t="s">
        <v>341</v>
      </c>
      <c r="G24" s="25" t="s">
        <v>89</v>
      </c>
      <c r="H24" s="2" t="s">
        <v>15</v>
      </c>
      <c r="I24" s="106">
        <v>1269.53</v>
      </c>
      <c r="J24" s="4" t="s">
        <v>196</v>
      </c>
      <c r="K24" s="4" t="s">
        <v>170</v>
      </c>
      <c r="L24" s="2" t="s">
        <v>78</v>
      </c>
      <c r="M24" s="2"/>
      <c r="N24" s="2" t="s">
        <v>320</v>
      </c>
      <c r="O24" s="105">
        <v>46027</v>
      </c>
      <c r="P24" s="106">
        <v>1223.53</v>
      </c>
      <c r="Q24" s="105">
        <v>46057</v>
      </c>
      <c r="R24" s="106">
        <v>1223.53</v>
      </c>
      <c r="S24" s="105">
        <v>46084</v>
      </c>
      <c r="T24" s="106">
        <v>1269.53</v>
      </c>
      <c r="U24" s="105">
        <v>46118</v>
      </c>
      <c r="V24" s="106">
        <v>1077.6300000000001</v>
      </c>
      <c r="W24" s="105">
        <v>46146</v>
      </c>
      <c r="X24" s="106">
        <v>1181.03</v>
      </c>
      <c r="Y24" s="105">
        <v>46183</v>
      </c>
      <c r="Z24" s="106">
        <v>1181.03</v>
      </c>
      <c r="AA24" s="105">
        <v>46213</v>
      </c>
      <c r="AB24" s="106">
        <v>1280.03</v>
      </c>
      <c r="AC24" s="105">
        <v>46238</v>
      </c>
      <c r="AD24" s="106">
        <v>1181.03</v>
      </c>
      <c r="AE24" s="105" t="s">
        <v>181</v>
      </c>
      <c r="AF24" s="106" t="s">
        <v>181</v>
      </c>
      <c r="AG24" s="105" t="s">
        <v>181</v>
      </c>
      <c r="AH24" s="106" t="s">
        <v>181</v>
      </c>
      <c r="AI24" s="105" t="s">
        <v>181</v>
      </c>
      <c r="AJ24" s="106" t="s">
        <v>181</v>
      </c>
      <c r="AK24" s="105" t="s">
        <v>181</v>
      </c>
      <c r="AL24" s="106" t="s">
        <v>181</v>
      </c>
    </row>
    <row r="25" spans="1:38" s="1" customFormat="1" x14ac:dyDescent="0.25">
      <c r="A25" s="155">
        <v>17</v>
      </c>
      <c r="B25" s="2" t="s">
        <v>378</v>
      </c>
      <c r="C25" s="2" t="s">
        <v>355</v>
      </c>
      <c r="D25" s="3">
        <v>43773</v>
      </c>
      <c r="E25" s="163" t="s">
        <v>341</v>
      </c>
      <c r="F25" s="3" t="s">
        <v>13</v>
      </c>
      <c r="G25" s="25" t="s">
        <v>89</v>
      </c>
      <c r="H25" s="2" t="s">
        <v>15</v>
      </c>
      <c r="I25" s="106">
        <v>120.42</v>
      </c>
      <c r="J25" s="4" t="s">
        <v>208</v>
      </c>
      <c r="K25" s="4" t="s">
        <v>170</v>
      </c>
      <c r="L25" s="2" t="s">
        <v>78</v>
      </c>
      <c r="M25" s="2"/>
      <c r="N25" s="2" t="s">
        <v>320</v>
      </c>
      <c r="O25" s="105">
        <v>46010</v>
      </c>
      <c r="P25" s="106">
        <v>120.42</v>
      </c>
      <c r="Q25" s="105">
        <v>46041</v>
      </c>
      <c r="R25" s="103">
        <v>120.42</v>
      </c>
      <c r="S25" s="105">
        <v>46076</v>
      </c>
      <c r="T25" s="106">
        <v>120.42</v>
      </c>
      <c r="U25" s="105">
        <v>46100</v>
      </c>
      <c r="V25" s="106">
        <v>120.42</v>
      </c>
      <c r="W25" s="105">
        <v>46132</v>
      </c>
      <c r="X25" s="106">
        <v>120.42</v>
      </c>
      <c r="Y25" s="105">
        <v>46160</v>
      </c>
      <c r="Z25" s="106">
        <v>120.42</v>
      </c>
      <c r="AA25" s="105">
        <v>46190</v>
      </c>
      <c r="AB25" s="106">
        <v>124.94</v>
      </c>
      <c r="AC25" s="105">
        <v>46222</v>
      </c>
      <c r="AD25" s="106">
        <v>120.42</v>
      </c>
      <c r="AE25" s="105" t="s">
        <v>181</v>
      </c>
      <c r="AF25" s="106" t="s">
        <v>181</v>
      </c>
      <c r="AG25" s="105" t="s">
        <v>181</v>
      </c>
      <c r="AH25" s="106" t="s">
        <v>181</v>
      </c>
      <c r="AI25" s="105" t="s">
        <v>181</v>
      </c>
      <c r="AJ25" s="106" t="s">
        <v>181</v>
      </c>
      <c r="AK25" s="105" t="s">
        <v>181</v>
      </c>
      <c r="AL25" s="106" t="s">
        <v>181</v>
      </c>
    </row>
    <row r="26" spans="1:38" s="1" customFormat="1" x14ac:dyDescent="0.25">
      <c r="A26" s="2">
        <v>18</v>
      </c>
      <c r="B26" s="2" t="s">
        <v>326</v>
      </c>
      <c r="C26" s="2" t="s">
        <v>356</v>
      </c>
      <c r="D26" s="3">
        <v>44400</v>
      </c>
      <c r="E26" s="163" t="s">
        <v>341</v>
      </c>
      <c r="F26" s="3" t="s">
        <v>13</v>
      </c>
      <c r="G26" s="25" t="s">
        <v>89</v>
      </c>
      <c r="H26" s="2" t="s">
        <v>15</v>
      </c>
      <c r="I26" s="106">
        <v>126.14</v>
      </c>
      <c r="J26" s="4" t="s">
        <v>208</v>
      </c>
      <c r="K26" s="4" t="s">
        <v>170</v>
      </c>
      <c r="L26" s="2" t="s">
        <v>78</v>
      </c>
      <c r="M26" s="2"/>
      <c r="N26" s="2" t="s">
        <v>320</v>
      </c>
      <c r="O26" s="105">
        <v>46031</v>
      </c>
      <c r="P26" s="106">
        <v>126.66</v>
      </c>
      <c r="Q26" s="105">
        <v>46063</v>
      </c>
      <c r="R26" s="106">
        <v>123.48</v>
      </c>
      <c r="S26" s="105">
        <v>46091</v>
      </c>
      <c r="T26" s="106">
        <v>126.14</v>
      </c>
      <c r="U26" s="105">
        <v>46121</v>
      </c>
      <c r="V26" s="106">
        <v>123.27</v>
      </c>
      <c r="W26" s="105">
        <v>46151</v>
      </c>
      <c r="X26" s="106">
        <v>123.48</v>
      </c>
      <c r="Y26" s="105">
        <v>46182</v>
      </c>
      <c r="Z26" s="106">
        <v>123.48</v>
      </c>
      <c r="AA26" s="105">
        <v>46211</v>
      </c>
      <c r="AB26" s="106">
        <v>123.48</v>
      </c>
      <c r="AC26" s="105" t="s">
        <v>181</v>
      </c>
      <c r="AD26" s="106" t="s">
        <v>181</v>
      </c>
      <c r="AE26" s="105" t="s">
        <v>181</v>
      </c>
      <c r="AF26" s="106" t="s">
        <v>181</v>
      </c>
      <c r="AG26" s="105" t="s">
        <v>181</v>
      </c>
      <c r="AH26" s="106" t="s">
        <v>181</v>
      </c>
      <c r="AI26" s="105" t="s">
        <v>181</v>
      </c>
      <c r="AJ26" s="106" t="s">
        <v>181</v>
      </c>
      <c r="AK26" s="105" t="s">
        <v>181</v>
      </c>
      <c r="AL26" s="106" t="s">
        <v>181</v>
      </c>
    </row>
    <row r="27" spans="1:38" s="1" customFormat="1" x14ac:dyDescent="0.25">
      <c r="A27" s="155">
        <v>19</v>
      </c>
      <c r="B27" s="2" t="s">
        <v>379</v>
      </c>
      <c r="C27" s="2" t="s">
        <v>356</v>
      </c>
      <c r="D27" s="3">
        <v>46092</v>
      </c>
      <c r="E27" s="163" t="s">
        <v>341</v>
      </c>
      <c r="F27" s="3" t="s">
        <v>28</v>
      </c>
      <c r="G27" s="25" t="s">
        <v>89</v>
      </c>
      <c r="H27" s="68" t="s">
        <v>376</v>
      </c>
      <c r="I27" s="106">
        <v>99.9</v>
      </c>
      <c r="J27" s="4" t="s">
        <v>377</v>
      </c>
      <c r="K27" s="4" t="s">
        <v>170</v>
      </c>
      <c r="L27" s="2" t="s">
        <v>78</v>
      </c>
      <c r="M27" s="2"/>
      <c r="N27" s="2" t="s">
        <v>320</v>
      </c>
      <c r="O27" s="105" t="s">
        <v>181</v>
      </c>
      <c r="P27" s="106" t="s">
        <v>181</v>
      </c>
      <c r="Q27" s="105" t="s">
        <v>181</v>
      </c>
      <c r="R27" s="106" t="s">
        <v>181</v>
      </c>
      <c r="S27" s="105" t="s">
        <v>181</v>
      </c>
      <c r="T27" s="106" t="s">
        <v>181</v>
      </c>
      <c r="U27" s="105">
        <v>46126</v>
      </c>
      <c r="V27" s="106">
        <v>19.98</v>
      </c>
      <c r="W27" s="105">
        <v>46155</v>
      </c>
      <c r="X27" s="106">
        <v>99.9</v>
      </c>
      <c r="Y27" s="105">
        <v>46185</v>
      </c>
      <c r="Z27" s="106">
        <v>99.9</v>
      </c>
      <c r="AA27" s="41">
        <v>46217</v>
      </c>
      <c r="AB27" s="4">
        <v>99.9</v>
      </c>
      <c r="AC27" s="105"/>
      <c r="AD27" s="106"/>
      <c r="AE27" s="105"/>
      <c r="AF27" s="106"/>
      <c r="AG27" s="105"/>
      <c r="AH27" s="106"/>
      <c r="AI27" s="105"/>
      <c r="AJ27" s="106"/>
      <c r="AK27" s="105"/>
      <c r="AL27" s="106"/>
    </row>
    <row r="28" spans="1:38" s="1" customFormat="1" x14ac:dyDescent="0.25">
      <c r="A28" s="2">
        <v>20</v>
      </c>
      <c r="B28" s="2" t="s">
        <v>366</v>
      </c>
      <c r="C28" s="2" t="s">
        <v>338</v>
      </c>
      <c r="D28" s="3">
        <v>45505</v>
      </c>
      <c r="E28" s="163" t="s">
        <v>341</v>
      </c>
      <c r="F28" s="3" t="s">
        <v>13</v>
      </c>
      <c r="G28" s="25" t="s">
        <v>89</v>
      </c>
      <c r="H28" s="2" t="s">
        <v>15</v>
      </c>
      <c r="I28" s="106">
        <v>115.28</v>
      </c>
      <c r="J28" s="103" t="s">
        <v>346</v>
      </c>
      <c r="K28" s="4" t="s">
        <v>170</v>
      </c>
      <c r="L28" s="2" t="s">
        <v>78</v>
      </c>
      <c r="M28" s="2"/>
      <c r="N28" s="2" t="s">
        <v>320</v>
      </c>
      <c r="O28" s="105">
        <v>46020</v>
      </c>
      <c r="P28" s="106">
        <v>115.28</v>
      </c>
      <c r="Q28" s="105">
        <v>46052</v>
      </c>
      <c r="R28" s="106">
        <v>115.28</v>
      </c>
      <c r="S28" s="105">
        <v>46083</v>
      </c>
      <c r="T28" s="106">
        <v>115.28</v>
      </c>
      <c r="U28" s="105">
        <v>46112</v>
      </c>
      <c r="V28" s="106">
        <v>125</v>
      </c>
      <c r="W28" s="105">
        <v>46142</v>
      </c>
      <c r="X28" s="106">
        <v>125</v>
      </c>
      <c r="Y28" s="105">
        <v>46181</v>
      </c>
      <c r="Z28" s="106">
        <v>125</v>
      </c>
      <c r="AA28" s="105">
        <v>46203</v>
      </c>
      <c r="AB28" s="106">
        <v>125</v>
      </c>
      <c r="AC28" s="105">
        <v>46229</v>
      </c>
      <c r="AD28" s="106">
        <v>125</v>
      </c>
      <c r="AE28" s="105" t="s">
        <v>181</v>
      </c>
      <c r="AF28" s="106" t="s">
        <v>181</v>
      </c>
      <c r="AG28" s="105" t="s">
        <v>181</v>
      </c>
      <c r="AH28" s="106" t="s">
        <v>181</v>
      </c>
      <c r="AI28" s="105" t="s">
        <v>181</v>
      </c>
      <c r="AJ28" s="106" t="s">
        <v>181</v>
      </c>
      <c r="AK28" s="105" t="s">
        <v>181</v>
      </c>
      <c r="AL28" s="106" t="s">
        <v>181</v>
      </c>
    </row>
    <row r="29" spans="1:38" s="1" customFormat="1" x14ac:dyDescent="0.25">
      <c r="A29" s="155">
        <v>21</v>
      </c>
      <c r="B29" s="68" t="s">
        <v>380</v>
      </c>
      <c r="C29" s="2" t="s">
        <v>338</v>
      </c>
      <c r="D29" s="3">
        <v>45505</v>
      </c>
      <c r="E29" s="163" t="s">
        <v>341</v>
      </c>
      <c r="F29" s="3" t="s">
        <v>13</v>
      </c>
      <c r="G29" s="25" t="s">
        <v>89</v>
      </c>
      <c r="H29" s="2" t="s">
        <v>15</v>
      </c>
      <c r="I29" s="106">
        <v>93.3</v>
      </c>
      <c r="J29" s="103" t="s">
        <v>346</v>
      </c>
      <c r="K29" s="4" t="s">
        <v>170</v>
      </c>
      <c r="L29" s="2" t="s">
        <v>78</v>
      </c>
      <c r="M29" s="2"/>
      <c r="N29" s="2" t="s">
        <v>320</v>
      </c>
      <c r="O29" s="105">
        <v>46020</v>
      </c>
      <c r="P29" s="106">
        <v>93.3</v>
      </c>
      <c r="Q29" s="105">
        <v>46052</v>
      </c>
      <c r="R29" s="106">
        <v>93.3</v>
      </c>
      <c r="S29" s="105">
        <v>46083</v>
      </c>
      <c r="T29" s="106">
        <v>93.3</v>
      </c>
      <c r="U29" s="105">
        <v>46112</v>
      </c>
      <c r="V29" s="106">
        <v>93.3</v>
      </c>
      <c r="W29" s="105">
        <v>46141</v>
      </c>
      <c r="X29" s="106">
        <v>99.9</v>
      </c>
      <c r="Y29" s="105">
        <v>46178</v>
      </c>
      <c r="Z29" s="106">
        <v>99</v>
      </c>
      <c r="AA29" s="105">
        <v>46203</v>
      </c>
      <c r="AB29" s="106">
        <v>99</v>
      </c>
      <c r="AC29" s="105">
        <v>46227</v>
      </c>
      <c r="AD29" s="106">
        <v>99</v>
      </c>
      <c r="AE29" s="105" t="s">
        <v>181</v>
      </c>
      <c r="AF29" s="106" t="s">
        <v>181</v>
      </c>
      <c r="AG29" s="105" t="s">
        <v>181</v>
      </c>
      <c r="AH29" s="106" t="s">
        <v>181</v>
      </c>
      <c r="AI29" s="105" t="s">
        <v>181</v>
      </c>
      <c r="AJ29" s="106" t="s">
        <v>181</v>
      </c>
      <c r="AK29" s="105" t="s">
        <v>181</v>
      </c>
      <c r="AL29" s="106" t="s">
        <v>181</v>
      </c>
    </row>
    <row r="30" spans="1:38" s="1" customFormat="1" x14ac:dyDescent="0.25">
      <c r="A30" s="2">
        <v>22</v>
      </c>
      <c r="B30" s="68" t="s">
        <v>381</v>
      </c>
      <c r="C30" s="2" t="s">
        <v>338</v>
      </c>
      <c r="D30" s="3">
        <v>46092</v>
      </c>
      <c r="E30" s="163" t="s">
        <v>341</v>
      </c>
      <c r="F30" s="3" t="s">
        <v>28</v>
      </c>
      <c r="G30" s="25" t="s">
        <v>89</v>
      </c>
      <c r="H30" s="68" t="s">
        <v>376</v>
      </c>
      <c r="I30" s="106">
        <v>99.9</v>
      </c>
      <c r="J30" s="4" t="s">
        <v>377</v>
      </c>
      <c r="K30" s="4" t="s">
        <v>170</v>
      </c>
      <c r="L30" s="2" t="s">
        <v>78</v>
      </c>
      <c r="M30" s="2"/>
      <c r="N30" s="2" t="s">
        <v>320</v>
      </c>
      <c r="O30" s="105" t="s">
        <v>181</v>
      </c>
      <c r="P30" s="106" t="s">
        <v>181</v>
      </c>
      <c r="Q30" s="105" t="s">
        <v>181</v>
      </c>
      <c r="R30" s="106" t="s">
        <v>181</v>
      </c>
      <c r="S30" s="105" t="s">
        <v>181</v>
      </c>
      <c r="T30" s="106" t="s">
        <v>181</v>
      </c>
      <c r="U30" s="105" t="s">
        <v>181</v>
      </c>
      <c r="V30" s="106" t="s">
        <v>181</v>
      </c>
      <c r="W30" s="105">
        <v>46142</v>
      </c>
      <c r="X30" s="106">
        <v>119.88</v>
      </c>
      <c r="Y30" s="105">
        <v>46181</v>
      </c>
      <c r="Z30" s="106">
        <v>99.9</v>
      </c>
      <c r="AA30" s="105">
        <v>46203</v>
      </c>
      <c r="AB30" s="106">
        <v>99.9</v>
      </c>
      <c r="AC30" s="105">
        <v>46229</v>
      </c>
      <c r="AD30" s="106">
        <v>99.9</v>
      </c>
      <c r="AE30" s="105" t="s">
        <v>181</v>
      </c>
      <c r="AF30" s="106" t="s">
        <v>181</v>
      </c>
      <c r="AG30" s="105" t="s">
        <v>181</v>
      </c>
      <c r="AH30" s="106" t="s">
        <v>181</v>
      </c>
      <c r="AI30" s="105"/>
      <c r="AJ30" s="106"/>
      <c r="AK30" s="105"/>
      <c r="AL30" s="106"/>
    </row>
    <row r="31" spans="1:38" s="1" customFormat="1" x14ac:dyDescent="0.25">
      <c r="A31" s="155">
        <v>23</v>
      </c>
      <c r="B31" s="2" t="s">
        <v>297</v>
      </c>
      <c r="C31" s="2" t="s">
        <v>298</v>
      </c>
      <c r="D31" s="3">
        <v>44676</v>
      </c>
      <c r="E31" s="163" t="s">
        <v>341</v>
      </c>
      <c r="F31" s="3" t="s">
        <v>6</v>
      </c>
      <c r="G31" s="23" t="s">
        <v>89</v>
      </c>
      <c r="H31" s="25" t="s">
        <v>7</v>
      </c>
      <c r="I31" s="106" t="s">
        <v>139</v>
      </c>
      <c r="J31" s="4" t="s">
        <v>299</v>
      </c>
      <c r="K31" s="4" t="s">
        <v>170</v>
      </c>
      <c r="L31" s="2" t="s">
        <v>78</v>
      </c>
      <c r="M31" s="2"/>
      <c r="N31" s="2" t="s">
        <v>318</v>
      </c>
      <c r="O31" s="105">
        <v>46049</v>
      </c>
      <c r="P31" s="106">
        <v>2805.54</v>
      </c>
      <c r="Q31" s="105">
        <v>46078</v>
      </c>
      <c r="R31" s="106">
        <v>2805.54</v>
      </c>
      <c r="S31" s="105">
        <v>46105</v>
      </c>
      <c r="T31" s="106">
        <v>2805.54</v>
      </c>
      <c r="U31" s="105">
        <v>46140</v>
      </c>
      <c r="V31" s="106">
        <v>3248.52</v>
      </c>
      <c r="W31" s="105">
        <v>46168</v>
      </c>
      <c r="X31" s="106">
        <v>3871</v>
      </c>
      <c r="Y31" s="105">
        <v>46199</v>
      </c>
      <c r="Z31" s="106">
        <v>3217.83</v>
      </c>
      <c r="AA31" s="169">
        <v>46237</v>
      </c>
      <c r="AB31" s="106">
        <v>3524.29</v>
      </c>
      <c r="AC31" s="105" t="s">
        <v>181</v>
      </c>
      <c r="AD31" s="106" t="s">
        <v>181</v>
      </c>
      <c r="AE31" s="105" t="s">
        <v>181</v>
      </c>
      <c r="AF31" s="106" t="s">
        <v>181</v>
      </c>
      <c r="AG31" s="105" t="s">
        <v>181</v>
      </c>
      <c r="AH31" s="106" t="s">
        <v>181</v>
      </c>
      <c r="AI31" s="105" t="s">
        <v>181</v>
      </c>
      <c r="AJ31" s="106" t="s">
        <v>181</v>
      </c>
      <c r="AK31" s="105" t="s">
        <v>181</v>
      </c>
      <c r="AL31" s="106" t="s">
        <v>181</v>
      </c>
    </row>
    <row r="32" spans="1:38" s="1" customFormat="1" x14ac:dyDescent="0.25">
      <c r="A32" s="2">
        <v>24</v>
      </c>
      <c r="B32" s="2" t="s">
        <v>359</v>
      </c>
      <c r="C32" s="2" t="s">
        <v>373</v>
      </c>
      <c r="D32" s="3"/>
      <c r="E32" s="163"/>
      <c r="F32" s="3"/>
      <c r="G32" s="23" t="s">
        <v>89</v>
      </c>
      <c r="H32" s="25" t="s">
        <v>7</v>
      </c>
      <c r="I32" s="106">
        <v>1691.45</v>
      </c>
      <c r="J32" s="4" t="s">
        <v>369</v>
      </c>
      <c r="K32" s="4" t="s">
        <v>361</v>
      </c>
      <c r="L32" s="2" t="s">
        <v>78</v>
      </c>
      <c r="M32" s="2"/>
      <c r="N32" s="2" t="s">
        <v>319</v>
      </c>
      <c r="O32" s="105">
        <v>46036</v>
      </c>
      <c r="P32" s="106">
        <v>1691.45</v>
      </c>
      <c r="Q32" s="105">
        <v>46055</v>
      </c>
      <c r="R32" s="106">
        <v>1691.45</v>
      </c>
      <c r="S32" s="105">
        <v>46083</v>
      </c>
      <c r="T32" s="106">
        <v>1691.45</v>
      </c>
      <c r="U32" s="105">
        <v>46113</v>
      </c>
      <c r="V32" s="106">
        <v>1691.45</v>
      </c>
      <c r="W32" s="105">
        <v>46147</v>
      </c>
      <c r="X32" s="106">
        <v>1691.45</v>
      </c>
      <c r="Y32" s="105">
        <v>46175</v>
      </c>
      <c r="Z32" s="106">
        <v>1691.45</v>
      </c>
      <c r="AA32" s="105">
        <v>46204</v>
      </c>
      <c r="AB32" s="106">
        <v>1691.45</v>
      </c>
      <c r="AC32" s="105">
        <v>46245</v>
      </c>
      <c r="AD32" s="106">
        <v>1691.45</v>
      </c>
      <c r="AE32" s="105" t="s">
        <v>181</v>
      </c>
      <c r="AF32" s="106" t="s">
        <v>181</v>
      </c>
      <c r="AG32" s="105" t="s">
        <v>181</v>
      </c>
      <c r="AH32" s="106" t="s">
        <v>181</v>
      </c>
      <c r="AI32" s="105" t="s">
        <v>181</v>
      </c>
      <c r="AJ32" s="106" t="s">
        <v>181</v>
      </c>
      <c r="AK32" s="105" t="s">
        <v>181</v>
      </c>
      <c r="AL32" s="106" t="s">
        <v>181</v>
      </c>
    </row>
    <row r="33" spans="1:38" s="1" customFormat="1" hidden="1" x14ac:dyDescent="0.25">
      <c r="A33" s="155">
        <v>25</v>
      </c>
      <c r="B33" s="2" t="s">
        <v>363</v>
      </c>
      <c r="C33" s="2"/>
      <c r="D33" s="3"/>
      <c r="E33" s="163"/>
      <c r="F33" s="3"/>
      <c r="G33" s="23" t="s">
        <v>149</v>
      </c>
      <c r="H33" s="25" t="s">
        <v>149</v>
      </c>
      <c r="I33" s="106" t="s">
        <v>149</v>
      </c>
      <c r="J33" s="25" t="s">
        <v>149</v>
      </c>
      <c r="K33" s="4"/>
      <c r="L33" s="2" t="s">
        <v>78</v>
      </c>
      <c r="M33" s="2"/>
      <c r="N33" s="2" t="s">
        <v>319</v>
      </c>
      <c r="O33" s="105">
        <v>46038</v>
      </c>
      <c r="P33" s="106">
        <v>206</v>
      </c>
      <c r="Q33" s="105" t="s">
        <v>149</v>
      </c>
      <c r="R33" s="105" t="s">
        <v>149</v>
      </c>
      <c r="S33" s="105" t="s">
        <v>149</v>
      </c>
      <c r="T33" s="105" t="s">
        <v>149</v>
      </c>
      <c r="U33" s="105" t="s">
        <v>181</v>
      </c>
      <c r="V33" s="106" t="s">
        <v>181</v>
      </c>
      <c r="W33" s="105" t="s">
        <v>181</v>
      </c>
      <c r="X33" s="106" t="s">
        <v>181</v>
      </c>
      <c r="Y33" s="105" t="s">
        <v>181</v>
      </c>
      <c r="Z33" s="106" t="s">
        <v>181</v>
      </c>
      <c r="AA33" s="105" t="s">
        <v>181</v>
      </c>
      <c r="AB33" s="106" t="s">
        <v>181</v>
      </c>
      <c r="AC33" s="105" t="s">
        <v>181</v>
      </c>
      <c r="AD33" s="106" t="s">
        <v>181</v>
      </c>
      <c r="AE33" s="105" t="s">
        <v>181</v>
      </c>
      <c r="AF33" s="106" t="s">
        <v>181</v>
      </c>
      <c r="AG33" s="105" t="s">
        <v>181</v>
      </c>
      <c r="AH33" s="106" t="s">
        <v>181</v>
      </c>
      <c r="AI33" s="105" t="s">
        <v>181</v>
      </c>
      <c r="AJ33" s="106" t="s">
        <v>181</v>
      </c>
      <c r="AK33" s="105" t="s">
        <v>181</v>
      </c>
      <c r="AL33" s="106" t="s">
        <v>181</v>
      </c>
    </row>
    <row r="34" spans="1:38" s="1" customFormat="1" x14ac:dyDescent="0.25">
      <c r="A34" s="2">
        <v>25</v>
      </c>
      <c r="B34" s="2" t="s">
        <v>370</v>
      </c>
      <c r="C34" s="2" t="s">
        <v>371</v>
      </c>
      <c r="D34" s="3">
        <v>46108</v>
      </c>
      <c r="E34" s="163" t="s">
        <v>341</v>
      </c>
      <c r="F34" s="3" t="s">
        <v>13</v>
      </c>
      <c r="G34" s="23" t="s">
        <v>89</v>
      </c>
      <c r="H34" s="25" t="s">
        <v>7</v>
      </c>
      <c r="I34" s="106">
        <v>450</v>
      </c>
      <c r="J34" s="25" t="s">
        <v>372</v>
      </c>
      <c r="K34" s="4" t="s">
        <v>170</v>
      </c>
      <c r="L34" s="2" t="s">
        <v>78</v>
      </c>
      <c r="M34" s="2"/>
      <c r="N34" s="2" t="s">
        <v>319</v>
      </c>
      <c r="O34" s="105" t="s">
        <v>181</v>
      </c>
      <c r="P34" s="106" t="s">
        <v>181</v>
      </c>
      <c r="Q34" s="105" t="s">
        <v>181</v>
      </c>
      <c r="R34" s="105" t="s">
        <v>181</v>
      </c>
      <c r="S34" s="105" t="s">
        <v>181</v>
      </c>
      <c r="T34" s="105" t="s">
        <v>181</v>
      </c>
      <c r="U34" s="105">
        <v>46114</v>
      </c>
      <c r="V34" s="106">
        <v>450</v>
      </c>
      <c r="W34" s="105">
        <v>46147</v>
      </c>
      <c r="X34" s="106">
        <v>450</v>
      </c>
      <c r="Y34" s="105">
        <v>46175</v>
      </c>
      <c r="Z34" s="106">
        <v>450</v>
      </c>
      <c r="AA34" s="105">
        <v>46204</v>
      </c>
      <c r="AB34" s="106">
        <v>450</v>
      </c>
      <c r="AC34" s="105">
        <v>46238</v>
      </c>
      <c r="AD34" s="106">
        <v>450</v>
      </c>
      <c r="AE34" s="105"/>
      <c r="AF34" s="106"/>
      <c r="AG34" s="105"/>
      <c r="AH34" s="106"/>
      <c r="AI34" s="105"/>
      <c r="AJ34" s="106"/>
      <c r="AK34" s="105"/>
      <c r="AL34" s="106"/>
    </row>
    <row r="35" spans="1:38" s="1" customFormat="1" x14ac:dyDescent="0.25">
      <c r="A35" s="155">
        <v>26</v>
      </c>
      <c r="B35" s="2" t="s">
        <v>368</v>
      </c>
      <c r="C35" s="2" t="s">
        <v>374</v>
      </c>
      <c r="D35" s="3"/>
      <c r="E35" s="163"/>
      <c r="F35" s="3"/>
      <c r="G35" s="23" t="s">
        <v>89</v>
      </c>
      <c r="H35" s="25" t="s">
        <v>7</v>
      </c>
      <c r="I35" s="106">
        <v>495.82</v>
      </c>
      <c r="J35" s="4" t="s">
        <v>181</v>
      </c>
      <c r="K35" s="4" t="s">
        <v>170</v>
      </c>
      <c r="L35" s="2" t="s">
        <v>78</v>
      </c>
      <c r="M35" s="2"/>
      <c r="N35" s="2" t="s">
        <v>320</v>
      </c>
      <c r="O35" s="105">
        <v>46037</v>
      </c>
      <c r="P35" s="106">
        <v>493.07</v>
      </c>
      <c r="Q35" s="105">
        <v>46072</v>
      </c>
      <c r="R35" s="106">
        <v>495.82</v>
      </c>
      <c r="S35" s="105">
        <v>46106</v>
      </c>
      <c r="T35" s="106">
        <v>493.07</v>
      </c>
      <c r="U35" s="105">
        <v>46129</v>
      </c>
      <c r="V35" s="106">
        <v>493.07</v>
      </c>
      <c r="W35" s="105">
        <v>46161</v>
      </c>
      <c r="X35" s="106">
        <v>493.07</v>
      </c>
      <c r="Y35" s="105">
        <v>46191</v>
      </c>
      <c r="Z35" s="106">
        <v>493.07</v>
      </c>
      <c r="AA35" s="105">
        <v>46221</v>
      </c>
      <c r="AB35" s="106">
        <v>493.07</v>
      </c>
      <c r="AC35" s="105" t="s">
        <v>181</v>
      </c>
      <c r="AD35" s="106" t="s">
        <v>181</v>
      </c>
      <c r="AE35" s="105" t="s">
        <v>181</v>
      </c>
      <c r="AF35" s="106" t="s">
        <v>181</v>
      </c>
      <c r="AG35" s="105" t="s">
        <v>181</v>
      </c>
      <c r="AH35" s="106" t="s">
        <v>181</v>
      </c>
      <c r="AI35" s="105" t="s">
        <v>181</v>
      </c>
      <c r="AJ35" s="106" t="s">
        <v>181</v>
      </c>
      <c r="AK35" s="105" t="s">
        <v>181</v>
      </c>
      <c r="AL35" s="106" t="s">
        <v>181</v>
      </c>
    </row>
    <row r="36" spans="1:38" s="1" customFormat="1" x14ac:dyDescent="0.25">
      <c r="A36" s="2">
        <v>27</v>
      </c>
      <c r="B36" s="2" t="s">
        <v>360</v>
      </c>
      <c r="C36" s="2" t="s">
        <v>375</v>
      </c>
      <c r="D36" s="3"/>
      <c r="E36" s="163"/>
      <c r="F36" s="3"/>
      <c r="G36" s="23" t="s">
        <v>89</v>
      </c>
      <c r="H36" s="25" t="s">
        <v>211</v>
      </c>
      <c r="I36" s="106">
        <v>1173.3800000000001</v>
      </c>
      <c r="J36" s="4" t="s">
        <v>365</v>
      </c>
      <c r="K36" s="4" t="s">
        <v>361</v>
      </c>
      <c r="L36" s="2" t="s">
        <v>78</v>
      </c>
      <c r="M36" s="2"/>
      <c r="N36" s="2" t="s">
        <v>319</v>
      </c>
      <c r="O36" s="105">
        <v>46041</v>
      </c>
      <c r="P36" s="106">
        <v>1269.45</v>
      </c>
      <c r="Q36" s="105">
        <v>46076</v>
      </c>
      <c r="R36" s="106">
        <v>1173.3800000000001</v>
      </c>
      <c r="S36" s="105">
        <v>46099</v>
      </c>
      <c r="T36" s="106">
        <v>1173.3800000000001</v>
      </c>
      <c r="U36" s="105">
        <v>46132</v>
      </c>
      <c r="V36" s="106">
        <v>1173.3800000000001</v>
      </c>
      <c r="W36" s="105">
        <v>46160</v>
      </c>
      <c r="X36" s="106">
        <v>1173.3800000000001</v>
      </c>
      <c r="Y36" s="105">
        <v>46191</v>
      </c>
      <c r="Z36" s="106">
        <v>1173.3800000000001</v>
      </c>
      <c r="AA36" s="105">
        <v>46223</v>
      </c>
      <c r="AB36" s="106">
        <v>1173.3800000000001</v>
      </c>
      <c r="AC36" s="105" t="s">
        <v>181</v>
      </c>
      <c r="AD36" s="106" t="s">
        <v>181</v>
      </c>
      <c r="AE36" s="105" t="s">
        <v>181</v>
      </c>
      <c r="AF36" s="106" t="s">
        <v>181</v>
      </c>
      <c r="AG36" s="105" t="s">
        <v>181</v>
      </c>
      <c r="AH36" s="106" t="s">
        <v>181</v>
      </c>
      <c r="AI36" s="105" t="s">
        <v>181</v>
      </c>
      <c r="AJ36" s="106" t="s">
        <v>181</v>
      </c>
      <c r="AK36" s="105" t="s">
        <v>181</v>
      </c>
      <c r="AL36" s="106" t="s">
        <v>181</v>
      </c>
    </row>
    <row r="37" spans="1:38" s="1" customFormat="1" x14ac:dyDescent="0.25">
      <c r="A37" s="155">
        <v>28</v>
      </c>
      <c r="B37" s="2" t="s">
        <v>303</v>
      </c>
      <c r="C37" s="2" t="s">
        <v>304</v>
      </c>
      <c r="D37" s="3">
        <v>44771</v>
      </c>
      <c r="E37" s="163" t="s">
        <v>341</v>
      </c>
      <c r="F37" s="3" t="s">
        <v>305</v>
      </c>
      <c r="G37" s="23" t="s">
        <v>306</v>
      </c>
      <c r="H37" s="2" t="s">
        <v>211</v>
      </c>
      <c r="I37" s="106">
        <v>1041.26</v>
      </c>
      <c r="J37" s="4" t="s">
        <v>307</v>
      </c>
      <c r="K37" s="4" t="s">
        <v>170</v>
      </c>
      <c r="L37" s="2" t="s">
        <v>78</v>
      </c>
      <c r="M37" s="2"/>
      <c r="N37" s="2" t="s">
        <v>319</v>
      </c>
      <c r="O37" s="105">
        <v>46029</v>
      </c>
      <c r="P37" s="106">
        <f>869.43+100</f>
        <v>969.43</v>
      </c>
      <c r="Q37" s="105">
        <v>46057</v>
      </c>
      <c r="R37" s="106">
        <f>869.43+100</f>
        <v>969.43</v>
      </c>
      <c r="S37" s="105">
        <v>46084</v>
      </c>
      <c r="T37" s="106">
        <v>1041.26</v>
      </c>
      <c r="U37" s="105">
        <v>46114</v>
      </c>
      <c r="V37" s="106">
        <v>1041.26</v>
      </c>
      <c r="W37" s="105">
        <v>46148</v>
      </c>
      <c r="X37" s="106">
        <v>1041.26</v>
      </c>
      <c r="Y37" s="105">
        <v>46176</v>
      </c>
      <c r="Z37" s="106">
        <f>941.26+100</f>
        <v>1041.26</v>
      </c>
      <c r="AA37" s="105">
        <v>46206</v>
      </c>
      <c r="AB37" s="106">
        <f>941.26+100</f>
        <v>1041.26</v>
      </c>
      <c r="AC37" s="105">
        <v>46239</v>
      </c>
      <c r="AD37" s="106">
        <f>941.26+100</f>
        <v>1041.26</v>
      </c>
      <c r="AE37" s="105" t="s">
        <v>181</v>
      </c>
      <c r="AF37" s="106" t="s">
        <v>181</v>
      </c>
      <c r="AG37" s="105" t="s">
        <v>181</v>
      </c>
      <c r="AH37" s="106" t="s">
        <v>181</v>
      </c>
      <c r="AI37" s="105" t="s">
        <v>181</v>
      </c>
      <c r="AJ37" s="106" t="s">
        <v>181</v>
      </c>
      <c r="AK37" s="105" t="s">
        <v>181</v>
      </c>
      <c r="AL37" s="106" t="s">
        <v>181</v>
      </c>
    </row>
    <row r="38" spans="1:38" s="128" customFormat="1" ht="15.75" x14ac:dyDescent="0.25">
      <c r="A38" s="140"/>
      <c r="B38" s="146" t="s">
        <v>152</v>
      </c>
      <c r="C38" s="130"/>
      <c r="D38" s="131"/>
      <c r="E38" s="131"/>
      <c r="F38" s="131"/>
      <c r="G38" s="130"/>
      <c r="H38" s="130"/>
      <c r="I38" s="147"/>
      <c r="J38" s="147"/>
      <c r="K38" s="147"/>
      <c r="L38" s="130"/>
      <c r="M38" s="130"/>
      <c r="N38" s="130"/>
      <c r="O38" s="131"/>
      <c r="P38" s="147">
        <f>SUBTOTAL(9,P3:P37)</f>
        <v>35506.329999999994</v>
      </c>
      <c r="Q38" s="131"/>
      <c r="R38" s="147">
        <f>SUBTOTAL(9,R3:R37)</f>
        <v>33590.36</v>
      </c>
      <c r="S38" s="131"/>
      <c r="T38" s="147">
        <f>SUBTOTAL(9,T3:T37)</f>
        <v>33336.859999999993</v>
      </c>
      <c r="U38" s="131"/>
      <c r="V38" s="147">
        <f>SUBTOTAL(9,V3:V37)</f>
        <v>36378.639999999992</v>
      </c>
      <c r="W38" s="131"/>
      <c r="X38" s="147">
        <f>SUBTOTAL(9,X3:X37)</f>
        <v>35429.89</v>
      </c>
      <c r="Y38" s="131"/>
      <c r="Z38" s="147">
        <f>SUBTOTAL(109,Tabela145678910111213[Valor8])</f>
        <v>37525.85</v>
      </c>
      <c r="AA38" s="131"/>
      <c r="AB38" s="147">
        <f>SUBTOTAL(109,Tabela145678910111213[Valor9])</f>
        <v>34333.17</v>
      </c>
      <c r="AC38" s="123"/>
      <c r="AD38" s="147">
        <f>SUBTOTAL(109,Tabela145678910111213[Valor10])</f>
        <v>15748.880000000001</v>
      </c>
      <c r="AE38" s="131"/>
      <c r="AF38" s="147">
        <f>SUBTOTAL(109,Tabela145678910111213[Valor11])</f>
        <v>0</v>
      </c>
      <c r="AG38" s="131"/>
      <c r="AH38" s="147">
        <f>SUBTOTAL(109,Tabela145678910111213[Valor12])</f>
        <v>0</v>
      </c>
      <c r="AI38" s="131"/>
      <c r="AJ38" s="147">
        <f>SUBTOTAL(109,Tabela145678910111213[Valor14])</f>
        <v>0</v>
      </c>
      <c r="AK38" s="131"/>
      <c r="AL38" s="148">
        <f>SUBTOTAL(109,Tabela145678910111213[Valor2])</f>
        <v>0</v>
      </c>
    </row>
    <row r="43" spans="1:38" x14ac:dyDescent="0.25">
      <c r="X43" s="101"/>
    </row>
    <row r="46" spans="1:38" x14ac:dyDescent="0.25">
      <c r="AF46" s="154"/>
    </row>
  </sheetData>
  <mergeCells count="13">
    <mergeCell ref="AK1:AL1"/>
    <mergeCell ref="Y1:Z1"/>
    <mergeCell ref="AA1:AB1"/>
    <mergeCell ref="AC1:AD1"/>
    <mergeCell ref="AE1:AF1"/>
    <mergeCell ref="AG1:AH1"/>
    <mergeCell ref="AI1:AJ1"/>
    <mergeCell ref="W1:X1"/>
    <mergeCell ref="D1:F1"/>
    <mergeCell ref="O1:P1"/>
    <mergeCell ref="Q1:R1"/>
    <mergeCell ref="S1:T1"/>
    <mergeCell ref="U1:V1"/>
  </mergeCells>
  <phoneticPr fontId="18" type="noConversion"/>
  <conditionalFormatting sqref="N7:N8 N10:N11 N13:N14">
    <cfRule type="cellIs" dxfId="38" priority="1" operator="equal">
      <formula>"OK"</formula>
    </cfRule>
    <cfRule type="cellIs" dxfId="37" priority="2" operator="equal">
      <formula>"Vencido"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21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Consolidada</vt:lpstr>
      <vt:lpstr>Plan1</vt:lpstr>
      <vt:lpstr>Plan2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Astecnica</dc:creator>
  <cp:lastModifiedBy>Astecnica</cp:lastModifiedBy>
  <cp:lastPrinted>2025-08-26T14:17:15Z</cp:lastPrinted>
  <dcterms:created xsi:type="dcterms:W3CDTF">2017-11-09T12:20:01Z</dcterms:created>
  <dcterms:modified xsi:type="dcterms:W3CDTF">2026-08-13T11:56:01Z</dcterms:modified>
</cp:coreProperties>
</file>