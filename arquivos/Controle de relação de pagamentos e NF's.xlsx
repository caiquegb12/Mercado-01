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servidor-02\Astecnica\Meus documentos\MERCADO CENTRAL\CONTRATOS E MEDIÇÕES\"/>
    </mc:Choice>
  </mc:AlternateContent>
  <xr:revisionPtr revIDLastSave="0" documentId="13_ncr:1_{6D0547C3-2C87-421F-8007-2CDF66352FC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2025" sheetId="1" r:id="rId1"/>
    <sheet name="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5" i="2" l="1"/>
  <c r="K165" i="2"/>
  <c r="J163" i="2"/>
  <c r="J165" i="2"/>
  <c r="J161" i="2"/>
  <c r="G164" i="2"/>
  <c r="G161" i="2"/>
  <c r="G159" i="2"/>
  <c r="G157" i="2"/>
  <c r="G120" i="2"/>
  <c r="G152" i="2"/>
  <c r="G134" i="2"/>
  <c r="G154" i="2"/>
  <c r="G136" i="2"/>
  <c r="G138" i="2"/>
  <c r="J138" i="2" s="1"/>
  <c r="G141" i="2"/>
  <c r="G132" i="2"/>
  <c r="G130" i="2"/>
  <c r="G122" i="2"/>
  <c r="G127" i="2"/>
  <c r="G125" i="2"/>
  <c r="G105" i="2"/>
  <c r="G9" i="2"/>
  <c r="G118" i="2"/>
  <c r="G115" i="2"/>
  <c r="G110" i="2"/>
  <c r="L110" i="2" s="1"/>
  <c r="G108" i="2"/>
  <c r="G81" i="2"/>
  <c r="G103" i="2"/>
  <c r="K103" i="2" s="1"/>
  <c r="G100" i="2"/>
  <c r="L100" i="2" s="1"/>
  <c r="G98" i="2"/>
  <c r="L98" i="2" s="1"/>
  <c r="G96" i="2"/>
  <c r="L96" i="2" s="1"/>
  <c r="M18" i="1"/>
  <c r="G18" i="1"/>
  <c r="G94" i="2"/>
  <c r="J94" i="2" s="1"/>
  <c r="G91" i="2"/>
  <c r="G88" i="2"/>
  <c r="L88" i="2" s="1"/>
  <c r="G86" i="2"/>
  <c r="L86" i="2" s="1"/>
  <c r="G84" i="2"/>
  <c r="L84" i="2" s="1"/>
  <c r="G79" i="2"/>
  <c r="L79" i="2" s="1"/>
  <c r="G77" i="2"/>
  <c r="K77" i="2" s="1"/>
  <c r="G75" i="2"/>
  <c r="L75" i="2" s="1"/>
  <c r="G73" i="2"/>
  <c r="L73" i="2" s="1"/>
  <c r="G71" i="2"/>
  <c r="K71" i="2" s="1"/>
  <c r="G56" i="2"/>
  <c r="G69" i="2"/>
  <c r="L69" i="2" s="1"/>
  <c r="G67" i="2"/>
  <c r="L67" i="2" s="1"/>
  <c r="G65" i="2"/>
  <c r="L65" i="2" s="1"/>
  <c r="J104" i="1"/>
  <c r="G63" i="2"/>
  <c r="K63" i="2" s="1"/>
  <c r="G61" i="2"/>
  <c r="L61" i="2" s="1"/>
  <c r="G59" i="2"/>
  <c r="L59" i="2" s="1"/>
  <c r="K161" i="2" l="1"/>
  <c r="L161" i="2"/>
  <c r="J157" i="2"/>
  <c r="L157" i="2"/>
  <c r="K157" i="2"/>
  <c r="M157" i="2" s="1"/>
  <c r="J152" i="2"/>
  <c r="L152" i="2"/>
  <c r="K152" i="2"/>
  <c r="M152" i="2" s="1"/>
  <c r="L159" i="2"/>
  <c r="K159" i="2"/>
  <c r="J159" i="2"/>
  <c r="L154" i="2"/>
  <c r="J154" i="2"/>
  <c r="K154" i="2"/>
  <c r="L141" i="2"/>
  <c r="M141" i="2" s="1"/>
  <c r="L138" i="2"/>
  <c r="K138" i="2"/>
  <c r="J136" i="2"/>
  <c r="L136" i="2"/>
  <c r="K136" i="2"/>
  <c r="J132" i="2"/>
  <c r="J130" i="2"/>
  <c r="L132" i="2"/>
  <c r="K132" i="2"/>
  <c r="L125" i="2"/>
  <c r="M125" i="2" s="1"/>
  <c r="J105" i="2"/>
  <c r="K105" i="2"/>
  <c r="L105" i="2"/>
  <c r="M110" i="2"/>
  <c r="L122" i="2"/>
  <c r="M122" i="2" s="1"/>
  <c r="L9" i="2"/>
  <c r="J120" i="2"/>
  <c r="L120" i="2"/>
  <c r="K120" i="2"/>
  <c r="L118" i="2"/>
  <c r="K118" i="2"/>
  <c r="J118" i="2"/>
  <c r="L115" i="2"/>
  <c r="J108" i="2"/>
  <c r="K108" i="2"/>
  <c r="L108" i="2"/>
  <c r="L103" i="2"/>
  <c r="M103" i="2" s="1"/>
  <c r="J103" i="2"/>
  <c r="J98" i="2"/>
  <c r="J100" i="2"/>
  <c r="K100" i="2"/>
  <c r="M100" i="2" s="1"/>
  <c r="K98" i="2"/>
  <c r="M98" i="2" s="1"/>
  <c r="J96" i="2"/>
  <c r="K96" i="2"/>
  <c r="M96" i="2" s="1"/>
  <c r="L94" i="2"/>
  <c r="K94" i="2"/>
  <c r="J91" i="2"/>
  <c r="K91" i="2"/>
  <c r="L91" i="2"/>
  <c r="J88" i="2"/>
  <c r="K88" i="2"/>
  <c r="M88" i="2" s="1"/>
  <c r="J86" i="2"/>
  <c r="K86" i="2"/>
  <c r="M86" i="2" s="1"/>
  <c r="K84" i="2"/>
  <c r="M84" i="2" s="1"/>
  <c r="J84" i="2"/>
  <c r="L81" i="2"/>
  <c r="M81" i="2" s="1"/>
  <c r="J79" i="2"/>
  <c r="K79" i="2"/>
  <c r="M79" i="2" s="1"/>
  <c r="L77" i="2"/>
  <c r="M77" i="2" s="1"/>
  <c r="J77" i="2"/>
  <c r="J75" i="2"/>
  <c r="K75" i="2"/>
  <c r="M75" i="2" s="1"/>
  <c r="J73" i="2"/>
  <c r="K73" i="2"/>
  <c r="M73" i="2" s="1"/>
  <c r="J71" i="2"/>
  <c r="L71" i="2"/>
  <c r="M71" i="2" s="1"/>
  <c r="J69" i="2"/>
  <c r="K69" i="2"/>
  <c r="M69" i="2" s="1"/>
  <c r="J67" i="2"/>
  <c r="K67" i="2"/>
  <c r="M67" i="2" s="1"/>
  <c r="L63" i="2"/>
  <c r="M63" i="2" s="1"/>
  <c r="K65" i="2"/>
  <c r="M65" i="2" s="1"/>
  <c r="J65" i="2"/>
  <c r="J63" i="2"/>
  <c r="K61" i="2"/>
  <c r="M61" i="2" s="1"/>
  <c r="J61" i="2"/>
  <c r="J59" i="2"/>
  <c r="K59" i="2"/>
  <c r="M59" i="2" s="1"/>
  <c r="M161" i="2" l="1"/>
  <c r="M159" i="2"/>
  <c r="M154" i="2"/>
  <c r="M136" i="2"/>
  <c r="M9" i="2"/>
  <c r="M132" i="2"/>
  <c r="M138" i="2"/>
  <c r="K130" i="2"/>
  <c r="L130" i="2"/>
  <c r="J127" i="2"/>
  <c r="M105" i="2"/>
  <c r="M108" i="2"/>
  <c r="M115" i="2"/>
  <c r="M120" i="2"/>
  <c r="M118" i="2"/>
  <c r="M94" i="2"/>
  <c r="M91" i="2"/>
  <c r="G54" i="2"/>
  <c r="J54" i="2" s="1"/>
  <c r="G52" i="2"/>
  <c r="L52" i="2" s="1"/>
  <c r="G50" i="2"/>
  <c r="J50" i="2" s="1"/>
  <c r="G48" i="2"/>
  <c r="L48" i="2" s="1"/>
  <c r="G46" i="2"/>
  <c r="L46" i="2" s="1"/>
  <c r="G44" i="2"/>
  <c r="M130" i="2" l="1"/>
  <c r="K127" i="2"/>
  <c r="L127" i="2"/>
  <c r="L56" i="2"/>
  <c r="J56" i="2"/>
  <c r="K56" i="2"/>
  <c r="J52" i="2"/>
  <c r="K52" i="2"/>
  <c r="M52" i="2" s="1"/>
  <c r="L54" i="2"/>
  <c r="K54" i="2"/>
  <c r="L50" i="2"/>
  <c r="K50" i="2"/>
  <c r="K48" i="2"/>
  <c r="M48" i="2" s="1"/>
  <c r="J48" i="2"/>
  <c r="K46" i="2"/>
  <c r="M46" i="2" s="1"/>
  <c r="J46" i="2"/>
  <c r="G41" i="2"/>
  <c r="M127" i="2" l="1"/>
  <c r="M54" i="2"/>
  <c r="M56" i="2"/>
  <c r="M50" i="2"/>
  <c r="L44" i="2"/>
  <c r="G39" i="2"/>
  <c r="J41" i="2"/>
  <c r="L41" i="2"/>
  <c r="K41" i="2"/>
  <c r="M41" i="2" l="1"/>
  <c r="K44" i="2"/>
  <c r="M44" i="2" s="1"/>
  <c r="J44" i="2"/>
  <c r="L39" i="2"/>
  <c r="J39" i="2"/>
  <c r="G37" i="2"/>
  <c r="K37" i="2" s="1"/>
  <c r="K39" i="2" l="1"/>
  <c r="M39" i="2" s="1"/>
  <c r="J37" i="2"/>
  <c r="L37" i="2"/>
  <c r="M37" i="2" s="1"/>
  <c r="G35" i="2" l="1"/>
  <c r="L35" i="2" s="1"/>
  <c r="G33" i="2"/>
  <c r="L33" i="2" s="1"/>
  <c r="K33" i="2" l="1"/>
  <c r="J33" i="2"/>
  <c r="K35" i="2"/>
  <c r="J35" i="2"/>
  <c r="M33" i="2" l="1"/>
  <c r="M35" i="2"/>
  <c r="G7" i="2" l="1"/>
  <c r="G5" i="2"/>
  <c r="L5" i="2" s="1"/>
  <c r="M5" i="2" s="1"/>
  <c r="G3" i="2"/>
  <c r="L3" i="2" s="1"/>
  <c r="G3" i="1"/>
  <c r="L3" i="1" s="1"/>
  <c r="M3" i="1" s="1"/>
  <c r="G13" i="1"/>
  <c r="L13" i="1" s="1"/>
  <c r="M13" i="1" s="1"/>
  <c r="N15" i="1"/>
  <c r="G9" i="1"/>
  <c r="L9" i="1" s="1"/>
  <c r="M9" i="1" s="1"/>
  <c r="L7" i="2" l="1"/>
  <c r="M3" i="2"/>
  <c r="G65" i="1"/>
  <c r="G62" i="1"/>
  <c r="G70" i="1"/>
  <c r="G90" i="1"/>
  <c r="L90" i="1" s="1"/>
  <c r="M90" i="1" s="1"/>
  <c r="G87" i="1"/>
  <c r="L87" i="1" s="1"/>
  <c r="M87" i="1" s="1"/>
  <c r="G102" i="1"/>
  <c r="L102" i="1" s="1"/>
  <c r="G92" i="1"/>
  <c r="L92" i="1" s="1"/>
  <c r="L100" i="1"/>
  <c r="M100" i="1" s="1"/>
  <c r="L98" i="1"/>
  <c r="M98" i="1" s="1"/>
  <c r="L94" i="1"/>
  <c r="L96" i="1"/>
  <c r="M96" i="1" s="1"/>
  <c r="G84" i="1"/>
  <c r="L84" i="1" s="1"/>
  <c r="M84" i="1" s="1"/>
  <c r="G57" i="1"/>
  <c r="G79" i="1"/>
  <c r="L79" i="1" s="1"/>
  <c r="M79" i="1" s="1"/>
  <c r="G75" i="1"/>
  <c r="L75" i="1" s="1"/>
  <c r="M75" i="1" s="1"/>
  <c r="M7" i="2" l="1"/>
  <c r="L60" i="1"/>
  <c r="M60" i="1" s="1"/>
  <c r="L57" i="1"/>
  <c r="M57" i="1" s="1"/>
  <c r="G44" i="1"/>
  <c r="L44" i="1" s="1"/>
  <c r="G35" i="1"/>
  <c r="L62" i="1"/>
  <c r="M62" i="1" s="1"/>
  <c r="L65" i="1"/>
  <c r="L70" i="1"/>
  <c r="M70" i="1" s="1"/>
  <c r="L18" i="1"/>
  <c r="L47" i="1"/>
  <c r="L48" i="1"/>
  <c r="K49" i="1"/>
  <c r="L49" i="1" l="1"/>
  <c r="K104" i="1"/>
  <c r="M65" i="1"/>
  <c r="M102" i="1" l="1"/>
  <c r="M92" i="1"/>
  <c r="M94" i="1"/>
  <c r="L35" i="1" l="1"/>
  <c r="L104" i="1" s="1"/>
  <c r="M48" i="1"/>
  <c r="M35" i="1" l="1"/>
  <c r="M104" i="1" s="1"/>
  <c r="K134" i="2" l="1"/>
  <c r="K172" i="2"/>
  <c r="L134" i="2"/>
  <c r="L172" i="2" s="1"/>
  <c r="J134" i="2"/>
  <c r="J172" i="2"/>
  <c r="M134" i="2" l="1"/>
  <c r="M17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Astecnica</author>
  </authors>
  <commentList>
    <comment ref="J49" authorId="0" shapeId="0" xr:uid="{5F26A247-08F5-4E25-AE70-CC9EDD6327B1}">
      <text>
        <r>
          <rPr>
            <b/>
            <sz val="9"/>
            <color indexed="81"/>
            <rFont val="Segoe UI"/>
            <family val="2"/>
          </rPr>
          <t>Valor aprovado por pilar.
Após negociação fechamos em R$8.485,85, logo, precisamos fazer 5 recuperação totalizando os R$42.429,25</t>
        </r>
      </text>
    </comment>
    <comment ref="K79" authorId="0" shapeId="0" xr:uid="{C7E717D1-D81B-4963-BC1D-6449970B059D}">
      <text>
        <r>
          <rPr>
            <b/>
            <sz val="9"/>
            <color indexed="81"/>
            <rFont val="Segoe UI"/>
            <family val="2"/>
          </rPr>
          <t>Valor variável a depender do volume de tampa a ser regularizada</t>
        </r>
      </text>
    </comment>
  </commentList>
</comments>
</file>

<file path=xl/sharedStrings.xml><?xml version="1.0" encoding="utf-8"?>
<sst xmlns="http://schemas.openxmlformats.org/spreadsheetml/2006/main" count="1323" uniqueCount="346">
  <si>
    <t>Item</t>
  </si>
  <si>
    <t>Descrição</t>
  </si>
  <si>
    <t>Valores aprovados / solicitados</t>
  </si>
  <si>
    <t>Valores investidos até o momento</t>
  </si>
  <si>
    <t>Saldo devedor</t>
  </si>
  <si>
    <t>1.1</t>
  </si>
  <si>
    <t>Troca de todos os medidores de água</t>
  </si>
  <si>
    <t>1.2</t>
  </si>
  <si>
    <t>Troca toldos estacionamento</t>
  </si>
  <si>
    <t>Concluído</t>
  </si>
  <si>
    <t>1.3</t>
  </si>
  <si>
    <t>Melhorias rampa lixeira e MC06</t>
  </si>
  <si>
    <t>1.4</t>
  </si>
  <si>
    <t>Recuperação sarjeta Goitacazes</t>
  </si>
  <si>
    <t>1.5</t>
  </si>
  <si>
    <t>Reformas estruturais lojas</t>
  </si>
  <si>
    <t>Em andamento</t>
  </si>
  <si>
    <t xml:space="preserve">Inspeção na fundação dos pilares metálicos </t>
  </si>
  <si>
    <t>Valor para cada fundação recuperada</t>
  </si>
  <si>
    <t>Pintura piso estacionamento 02</t>
  </si>
  <si>
    <t>Novo banheiro para funcionário de obras</t>
  </si>
  <si>
    <t>Não iniciado</t>
  </si>
  <si>
    <t>Pintura de escadas de acesso</t>
  </si>
  <si>
    <t>Adaptação dos espaços abaixo das escadas</t>
  </si>
  <si>
    <t>Troca/ajustes das tampas dos PVS</t>
  </si>
  <si>
    <t>Recuperação calçadas portuguesas</t>
  </si>
  <si>
    <t>Total</t>
  </si>
  <si>
    <t>Aprovados em conselho</t>
  </si>
  <si>
    <t>Controle de relação de pagamentos e NF's</t>
  </si>
  <si>
    <t>Nível</t>
  </si>
  <si>
    <t>Projeto</t>
  </si>
  <si>
    <t>Operacional</t>
  </si>
  <si>
    <t>Emergêncial</t>
  </si>
  <si>
    <t>Data NF</t>
  </si>
  <si>
    <t>Nº NF</t>
  </si>
  <si>
    <t>Valor NF</t>
  </si>
  <si>
    <t>Forma pagamento</t>
  </si>
  <si>
    <t>Microfilmagem tubulações pluvial</t>
  </si>
  <si>
    <t>PIX</t>
  </si>
  <si>
    <t>Razão NF</t>
  </si>
  <si>
    <t>IGOR FER-NANDO SIMIDAMORE VICIANA LTDA</t>
  </si>
  <si>
    <t>SDB METERING SISTEMAS DE MEDIÇÃO LTDA</t>
  </si>
  <si>
    <t>Seu Consumo</t>
  </si>
  <si>
    <t>Valores contratados</t>
  </si>
  <si>
    <t>Boleto</t>
  </si>
  <si>
    <t>Data pagamento</t>
  </si>
  <si>
    <t>Innovatec</t>
  </si>
  <si>
    <t>Inovar</t>
  </si>
  <si>
    <t>Pix</t>
  </si>
  <si>
    <t>2.1</t>
  </si>
  <si>
    <t>2.2</t>
  </si>
  <si>
    <t>2.3</t>
  </si>
  <si>
    <t>Reparo pilar estacionamento 02</t>
  </si>
  <si>
    <t>Moderna</t>
  </si>
  <si>
    <t>Troca portões carga e descarga</t>
  </si>
  <si>
    <t>Troca pisos corredores</t>
  </si>
  <si>
    <t>Reembolso alho temperado</t>
  </si>
  <si>
    <t>Reembolso</t>
  </si>
  <si>
    <t>Emporium</t>
  </si>
  <si>
    <t>Reforma QM Aug.  De lima para arquivo</t>
  </si>
  <si>
    <t>Construforms</t>
  </si>
  <si>
    <t>1ª medição</t>
  </si>
  <si>
    <t>Limpeza trocador de calor ele 01</t>
  </si>
  <si>
    <t>Simem</t>
  </si>
  <si>
    <t>Desentupimento rede de esgoto</t>
  </si>
  <si>
    <t>PHD</t>
  </si>
  <si>
    <t>Fibra caixa 01</t>
  </si>
  <si>
    <t>Fine</t>
  </si>
  <si>
    <t xml:space="preserve">Materiais </t>
  </si>
  <si>
    <t>Alzata</t>
  </si>
  <si>
    <t>Recuperações estruturais</t>
  </si>
  <si>
    <t>Vários</t>
  </si>
  <si>
    <t>Printflix</t>
  </si>
  <si>
    <t>GF</t>
  </si>
  <si>
    <t>9.1</t>
  </si>
  <si>
    <t>9.2</t>
  </si>
  <si>
    <t>7.1</t>
  </si>
  <si>
    <t>10.1</t>
  </si>
  <si>
    <t>11.1</t>
  </si>
  <si>
    <t>12.1</t>
  </si>
  <si>
    <t>12.2</t>
  </si>
  <si>
    <t>10.2</t>
  </si>
  <si>
    <t>Etapa/Obs.</t>
  </si>
  <si>
    <t>5.1</t>
  </si>
  <si>
    <t>5.2</t>
  </si>
  <si>
    <t>Gf</t>
  </si>
  <si>
    <t>13.1</t>
  </si>
  <si>
    <t>13.2</t>
  </si>
  <si>
    <t>J. Claudio</t>
  </si>
  <si>
    <t>3.1</t>
  </si>
  <si>
    <t>4.1</t>
  </si>
  <si>
    <t>8.1</t>
  </si>
  <si>
    <t>Mateus instalações LTDA</t>
  </si>
  <si>
    <t>Limpeza trocador de calor ele 02</t>
  </si>
  <si>
    <t>Fibra caixa 02</t>
  </si>
  <si>
    <t>Mateus inst.</t>
  </si>
  <si>
    <t>Reparos postes e corrente bares</t>
  </si>
  <si>
    <t>Bacia contenção estacionamento</t>
  </si>
  <si>
    <t>Epoxi piso cozinha escola</t>
  </si>
  <si>
    <t>2ª medição</t>
  </si>
  <si>
    <t>Reforma banheiros e salas da direção</t>
  </si>
  <si>
    <t>Pisos dos corredores em geral</t>
  </si>
  <si>
    <t>Casual inox</t>
  </si>
  <si>
    <t>Danton EPS</t>
  </si>
  <si>
    <t>Nova fachada administração + GC escada</t>
  </si>
  <si>
    <t>4.3</t>
  </si>
  <si>
    <t>17.4</t>
  </si>
  <si>
    <t>3.4</t>
  </si>
  <si>
    <t>9.3</t>
  </si>
  <si>
    <t>4.7</t>
  </si>
  <si>
    <t>4.5</t>
  </si>
  <si>
    <t>3.2</t>
  </si>
  <si>
    <t>3.3</t>
  </si>
  <si>
    <t>4.2</t>
  </si>
  <si>
    <t>4.4</t>
  </si>
  <si>
    <t>4.6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</si>
  <si>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</si>
  <si>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</si>
  <si>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</si>
  <si>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</si>
  <si>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</si>
  <si>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</si>
  <si>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</si>
  <si>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</si>
  <si>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</si>
  <si>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5.3</t>
  </si>
  <si>
    <t>5.4</t>
  </si>
  <si>
    <t>6.1</t>
  </si>
  <si>
    <t>8.2</t>
  </si>
  <si>
    <t>9.4</t>
  </si>
  <si>
    <t>9.5</t>
  </si>
  <si>
    <t>9.6</t>
  </si>
  <si>
    <t>9.7</t>
  </si>
  <si>
    <t>14.1</t>
  </si>
  <si>
    <t>15.1</t>
  </si>
  <si>
    <t>15.2</t>
  </si>
  <si>
    <t>15.3</t>
  </si>
  <si>
    <t>15.4</t>
  </si>
  <si>
    <t>16.1</t>
  </si>
  <si>
    <t>19.1</t>
  </si>
  <si>
    <t>16.2</t>
  </si>
  <si>
    <t>16.3</t>
  </si>
  <si>
    <t>17.1</t>
  </si>
  <si>
    <t>17.2</t>
  </si>
  <si>
    <t>17.3</t>
  </si>
  <si>
    <t>18.1</t>
  </si>
  <si>
    <t>18.2</t>
  </si>
  <si>
    <t>19.2</t>
  </si>
  <si>
    <t>20.1</t>
  </si>
  <si>
    <t>21.1</t>
  </si>
  <si>
    <t>22.1</t>
  </si>
  <si>
    <t>23.1</t>
  </si>
  <si>
    <t>24.1</t>
  </si>
  <si>
    <t>25.1</t>
  </si>
  <si>
    <t>26.1</t>
  </si>
  <si>
    <t>Pintura piso caixa 01</t>
  </si>
  <si>
    <t>Miscelâneas em geral</t>
  </si>
  <si>
    <t>Loja do Paulo</t>
  </si>
  <si>
    <t>Serviços de serralheria</t>
  </si>
  <si>
    <t>José Claudio</t>
  </si>
  <si>
    <t>Aprovados em conselho pelo zap</t>
  </si>
  <si>
    <t>Ampliação sanit. Clientes, brigada e caixa</t>
  </si>
  <si>
    <t>Produtos</t>
  </si>
  <si>
    <t>Suporte bebedouros, proteção QDC e outros</t>
  </si>
  <si>
    <t>Serviços</t>
  </si>
  <si>
    <t>Retirada de portas</t>
  </si>
  <si>
    <t>Placas estacionamento</t>
  </si>
  <si>
    <t>Reparo corrimão rampa casa cheia</t>
  </si>
  <si>
    <t>Nova fibra entre racks adm e estac</t>
  </si>
  <si>
    <t>Istalo</t>
  </si>
  <si>
    <t>Renovação de antivirus Kapersky</t>
  </si>
  <si>
    <t>TI</t>
  </si>
  <si>
    <t>Kapersky</t>
  </si>
  <si>
    <t>Licenças win e office</t>
  </si>
  <si>
    <t>WLA info</t>
  </si>
  <si>
    <t>Condufibra</t>
  </si>
  <si>
    <t>Patch cord e conectores</t>
  </si>
  <si>
    <t>Agis</t>
  </si>
  <si>
    <t>Sistema de som anuncios</t>
  </si>
  <si>
    <t>Reparos diversos escada e pisos</t>
  </si>
  <si>
    <t>Revestimento parede almoxarifado</t>
  </si>
  <si>
    <t>Fechamento em drywall QM santa catarina</t>
  </si>
  <si>
    <t>Reparos diversos ralos corredores</t>
  </si>
  <si>
    <t>Santiago</t>
  </si>
  <si>
    <t>Toldos carga e descarga</t>
  </si>
  <si>
    <t>Alvorada</t>
  </si>
  <si>
    <t>Suporte bebedouro</t>
  </si>
  <si>
    <t>Modificação ar condicionado</t>
  </si>
  <si>
    <t>TJ ar condic.</t>
  </si>
  <si>
    <t>Manutenção piso corredores</t>
  </si>
  <si>
    <t>Escada QM Curitiba</t>
  </si>
  <si>
    <t>Troca lonas fechamento estacionamento</t>
  </si>
  <si>
    <t>Pequenos reparos adm e estac</t>
  </si>
  <si>
    <t>Recuperação piso carga e descarga</t>
  </si>
  <si>
    <t>Serviços diversos serralheria</t>
  </si>
  <si>
    <t>Reparo portões, tampas e outros</t>
  </si>
  <si>
    <t>Consultoria projeto Cemig</t>
  </si>
  <si>
    <t>GCMMEL</t>
  </si>
  <si>
    <t>Consultoria com relatório</t>
  </si>
  <si>
    <t>Pintura paredes e teto carga e descarga</t>
  </si>
  <si>
    <t>Linha de vida administração</t>
  </si>
  <si>
    <t>Projan</t>
  </si>
  <si>
    <t>Reparo estoque capel e GCmc07</t>
  </si>
  <si>
    <t>27.1</t>
  </si>
  <si>
    <t>Projeto sistema exaustão</t>
  </si>
  <si>
    <t>MJM</t>
  </si>
  <si>
    <t>Tranferência</t>
  </si>
  <si>
    <t>Projeto comparativo valores</t>
  </si>
  <si>
    <t>28.1</t>
  </si>
  <si>
    <t>Atualização sistema de som</t>
  </si>
  <si>
    <t>Upgrade sistema som</t>
  </si>
  <si>
    <t>29.1</t>
  </si>
  <si>
    <t>Reparo pisos dos corredores em geral</t>
  </si>
  <si>
    <t>Pisos e afundamentos</t>
  </si>
  <si>
    <t>Manutenção e reparo aspersor</t>
  </si>
  <si>
    <t>30.1</t>
  </si>
  <si>
    <t>Elder</t>
  </si>
  <si>
    <t>Climatizador coz. escola</t>
  </si>
  <si>
    <t>Otavio</t>
  </si>
  <si>
    <t>Automatização mictórios</t>
  </si>
  <si>
    <t>31.1</t>
  </si>
  <si>
    <t>Limpeza fachada Curitiba</t>
  </si>
  <si>
    <t>Oziel</t>
  </si>
  <si>
    <t>Reparos banheiros fem lojistas</t>
  </si>
  <si>
    <t>32.1</t>
  </si>
  <si>
    <t>32.2</t>
  </si>
  <si>
    <t>31.2</t>
  </si>
  <si>
    <t>Limpeza fachada curitiba reembolso fabinho</t>
  </si>
  <si>
    <t>Ajustes exaustores em geral</t>
  </si>
  <si>
    <t>Limpeza caixas d'agua</t>
  </si>
  <si>
    <t>Evolução</t>
  </si>
  <si>
    <t>Troca de registros</t>
  </si>
  <si>
    <t>34.1</t>
  </si>
  <si>
    <t>Trave no carga e descarga</t>
  </si>
  <si>
    <t>4.17</t>
  </si>
  <si>
    <t>35.1</t>
  </si>
  <si>
    <t>36.1</t>
  </si>
  <si>
    <t>36.2</t>
  </si>
  <si>
    <t>Acabamento de descarga antivandalismo</t>
  </si>
  <si>
    <t>Acabamento descarca fem loj</t>
  </si>
  <si>
    <t>Pintura Azul capela</t>
  </si>
  <si>
    <t>Pintura externa capela mat</t>
  </si>
  <si>
    <t>Pintura externa capela mo</t>
  </si>
  <si>
    <t>37.1</t>
  </si>
  <si>
    <t>Soldas geral andor/placa outros</t>
  </si>
  <si>
    <t>Upgrade sistema som, parc final</t>
  </si>
  <si>
    <t>Manutenção pisos corredores permanente</t>
  </si>
  <si>
    <t>38.1</t>
  </si>
  <si>
    <t>pisos em geral corredores/ralos</t>
  </si>
  <si>
    <t>39.1</t>
  </si>
  <si>
    <t>Pintura estacionamento 02</t>
  </si>
  <si>
    <t>valor de entrada</t>
  </si>
  <si>
    <t>Regularização sistemas de exaustão</t>
  </si>
  <si>
    <t>Ventilar</t>
  </si>
  <si>
    <t>1º Casa cheia/mané doido/bar e pastelaria mc</t>
  </si>
  <si>
    <t>40.1</t>
  </si>
  <si>
    <t>40.2</t>
  </si>
  <si>
    <t>Final</t>
  </si>
  <si>
    <t>Adaptação de prateleiras arquivo</t>
  </si>
  <si>
    <t>Corte e emenda de prateleiras</t>
  </si>
  <si>
    <t>41.1</t>
  </si>
  <si>
    <t>Poste CD e grade aug. lima</t>
  </si>
  <si>
    <t>42.1</t>
  </si>
  <si>
    <t>2ª parcela</t>
  </si>
  <si>
    <t>4.18</t>
  </si>
  <si>
    <t>4.19</t>
  </si>
  <si>
    <t>Som espaços de eventos</t>
  </si>
  <si>
    <t>Som para esp. 02 03 04 estac</t>
  </si>
  <si>
    <t>43.1</t>
  </si>
  <si>
    <t>38.2</t>
  </si>
  <si>
    <t>40.3</t>
  </si>
  <si>
    <t>40.4</t>
  </si>
  <si>
    <t>41.2</t>
  </si>
  <si>
    <t>44.1</t>
  </si>
  <si>
    <t>44.2</t>
  </si>
  <si>
    <t>Projeto mudança para trifásicos</t>
  </si>
  <si>
    <t>Depósito</t>
  </si>
  <si>
    <t>Mudança monos para tri</t>
  </si>
  <si>
    <t>Mudança monos para tri (ñ exec)</t>
  </si>
  <si>
    <t>45.1</t>
  </si>
  <si>
    <t>Projeto exaustão banheiros</t>
  </si>
  <si>
    <t>Mariano</t>
  </si>
  <si>
    <t>Projeto exaustão QTO</t>
  </si>
  <si>
    <t>Limpeza da rede de esgoto</t>
  </si>
  <si>
    <t>46.1</t>
  </si>
  <si>
    <t>PHD AMB</t>
  </si>
  <si>
    <t>Desentup. da rede da central</t>
  </si>
  <si>
    <t>47.1</t>
  </si>
  <si>
    <t>Reparo em corrimão inox</t>
  </si>
  <si>
    <t>Corrimão casa cheia</t>
  </si>
  <si>
    <t>48.1</t>
  </si>
  <si>
    <t>3ª parcela</t>
  </si>
  <si>
    <t>Troca de Bicos injetores reforma cantina</t>
  </si>
  <si>
    <t>CHAMAAGAS</t>
  </si>
  <si>
    <t>49.1</t>
  </si>
  <si>
    <t>50.1</t>
  </si>
  <si>
    <t>Prateleiras CD</t>
  </si>
  <si>
    <t>51.1</t>
  </si>
  <si>
    <t>Reforma da calçada portuguesa</t>
  </si>
  <si>
    <t>Calçada portuguesa</t>
  </si>
  <si>
    <t>51.2</t>
  </si>
  <si>
    <t>Materiais calçada portuguesa</t>
  </si>
  <si>
    <t>46.2</t>
  </si>
  <si>
    <t>Hidrojateamento PV`s Sta Catarina</t>
  </si>
  <si>
    <t>Desentup. da rede da Sta Catarina</t>
  </si>
  <si>
    <t>52.1</t>
  </si>
  <si>
    <t>Ampliação Cantina</t>
  </si>
  <si>
    <t>Varios</t>
  </si>
  <si>
    <t>inovar</t>
  </si>
  <si>
    <t>52.2</t>
  </si>
  <si>
    <t>1ª medição serviços</t>
  </si>
  <si>
    <t>1ª medição produtos</t>
  </si>
  <si>
    <t>4.20</t>
  </si>
  <si>
    <t>2ª medição serviços</t>
  </si>
  <si>
    <t>2ª medição produtos</t>
  </si>
  <si>
    <t>52.3</t>
  </si>
  <si>
    <t>52.4</t>
  </si>
  <si>
    <t>3ª medição serviços</t>
  </si>
  <si>
    <t>3ª medição produtos</t>
  </si>
  <si>
    <t>52.5</t>
  </si>
  <si>
    <t>52.6</t>
  </si>
  <si>
    <t>Projeto Caixas Cemig</t>
  </si>
  <si>
    <t>Projeto ligação provisória</t>
  </si>
  <si>
    <t>Projeto ampliação geral, entrada</t>
  </si>
  <si>
    <t>Projeto para alteração de caixas Cemig</t>
  </si>
  <si>
    <t>Projeto para ligação provisória Cemig</t>
  </si>
  <si>
    <t>54.1</t>
  </si>
  <si>
    <t>Guarda Copo</t>
  </si>
  <si>
    <t>53.1</t>
  </si>
  <si>
    <t>55.1</t>
  </si>
  <si>
    <t>Tombador de lixo e tampa central</t>
  </si>
  <si>
    <t>56.1</t>
  </si>
  <si>
    <t>Reparos solicitados pela CIPA</t>
  </si>
  <si>
    <t>57.1</t>
  </si>
  <si>
    <t>Reforma loja 512</t>
  </si>
  <si>
    <t>Reforma loja mc5 união</t>
  </si>
  <si>
    <t>52.7</t>
  </si>
  <si>
    <t>4º medição serviços</t>
  </si>
  <si>
    <t>52.8</t>
  </si>
  <si>
    <t>4º medição produtos</t>
  </si>
  <si>
    <t>58.1</t>
  </si>
  <si>
    <t>Acabamento descarga</t>
  </si>
  <si>
    <t>Sinal</t>
  </si>
  <si>
    <t>Conversor de Fibra</t>
  </si>
  <si>
    <t>Fine Net Internet</t>
  </si>
  <si>
    <t>59.1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</si>
</sst>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164" fontId="3" fillId="3" borderId="1" xfId="1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164" fontId="3" fillId="0" borderId="1" xfId="1" applyFont="1" applyBorder="1" applyAlignment="1">
      <alignment vertical="center"/>
    </xf>
    <xf numFmtId="164" fontId="5" fillId="0" borderId="1" xfId="1" applyFont="1" applyBorder="1" applyAlignment="1">
      <alignment vertical="center"/>
    </xf>
    <xf numFmtId="164" fontId="3" fillId="3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3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 wrapText="1"/>
    </xf>
    <xf numFmtId="164" fontId="6" fillId="0" borderId="1" xfId="1" applyFont="1" applyBorder="1" applyAlignment="1">
      <alignment vertical="center"/>
    </xf>
    <xf numFmtId="164" fontId="4" fillId="3" borderId="1" xfId="1" applyFont="1" applyFill="1" applyBorder="1" applyAlignment="1">
      <alignment horizontal="left" vertical="center" wrapText="1"/>
    </xf>
    <xf numFmtId="164" fontId="4" fillId="0" borderId="1" xfId="1" applyFont="1" applyBorder="1" applyAlignment="1">
      <alignment horizontal="left" vertical="center" wrapText="1"/>
    </xf>
    <xf numFmtId="164" fontId="3" fillId="0" borderId="1" xfId="1" applyFont="1" applyBorder="1" applyAlignment="1">
      <alignment horizontal="right" wrapText="1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/>
    </xf>
    <xf numFmtId="164" fontId="3" fillId="3" borderId="1" xfId="1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right" wrapText="1"/>
    </xf>
    <xf numFmtId="14" fontId="4" fillId="0" borderId="0" xfId="0" applyNumberFormat="1" applyFont="1" applyAlignment="1">
      <alignment wrapText="1"/>
    </xf>
    <xf numFmtId="14" fontId="4" fillId="0" borderId="0" xfId="0" applyNumberFormat="1" applyFont="1"/>
    <xf numFmtId="14" fontId="0" fillId="0" borderId="0" xfId="0" applyNumberFormat="1"/>
    <xf numFmtId="14" fontId="4" fillId="3" borderId="1" xfId="1" applyNumberFormat="1" applyFont="1" applyFill="1" applyBorder="1" applyAlignment="1">
      <alignment horizontal="left" vertical="center" wrapText="1"/>
    </xf>
    <xf numFmtId="14" fontId="4" fillId="0" borderId="1" xfId="1" applyNumberFormat="1" applyFont="1" applyBorder="1" applyAlignment="1">
      <alignment horizontal="left" vertical="center" wrapText="1"/>
    </xf>
    <xf numFmtId="14" fontId="3" fillId="0" borderId="1" xfId="1" applyNumberFormat="1" applyFont="1" applyBorder="1" applyAlignment="1">
      <alignment horizontal="right" wrapText="1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 wrapText="1"/>
    </xf>
    <xf numFmtId="14" fontId="3" fillId="3" borderId="1" xfId="1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/>
    </xf>
    <xf numFmtId="0" fontId="8" fillId="0" borderId="0" xfId="0" applyFont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 wrapText="1"/>
    </xf>
    <xf numFmtId="164" fontId="3" fillId="0" borderId="1" xfId="1" applyFont="1" applyBorder="1" applyAlignment="1">
      <alignment horizontal="left" vertical="center" wrapText="1"/>
    </xf>
    <xf numFmtId="14" fontId="3" fillId="0" borderId="1" xfId="1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 wrapText="1"/>
    </xf>
    <xf numFmtId="164" fontId="5" fillId="0" borderId="1" xfId="1" applyFont="1" applyBorder="1" applyAlignment="1">
      <alignment horizontal="left" vertical="center" wrapText="1"/>
    </xf>
    <xf numFmtId="14" fontId="5" fillId="0" borderId="1" xfId="1" applyNumberFormat="1" applyFont="1" applyBorder="1" applyAlignment="1">
      <alignment horizontal="left" vertical="center" wrapText="1"/>
    </xf>
    <xf numFmtId="164" fontId="4" fillId="3" borderId="1" xfId="1" applyFont="1" applyFill="1" applyBorder="1" applyAlignment="1">
      <alignment vertical="center"/>
    </xf>
    <xf numFmtId="164" fontId="4" fillId="3" borderId="1" xfId="1" applyFont="1" applyFill="1" applyBorder="1" applyAlignment="1">
      <alignment horizontal="center" vertical="center"/>
    </xf>
    <xf numFmtId="164" fontId="4" fillId="0" borderId="1" xfId="1" applyFont="1" applyBorder="1" applyAlignment="1">
      <alignment vertical="center"/>
    </xf>
    <xf numFmtId="164" fontId="3" fillId="0" borderId="1" xfId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 wrapText="1"/>
    </xf>
    <xf numFmtId="14" fontId="10" fillId="0" borderId="1" xfId="1" applyNumberFormat="1" applyFont="1" applyBorder="1" applyAlignment="1">
      <alignment horizontal="left" vertical="center" wrapText="1"/>
    </xf>
    <xf numFmtId="164" fontId="10" fillId="0" borderId="1" xfId="1" applyFont="1" applyBorder="1" applyAlignment="1">
      <alignment vertical="center"/>
    </xf>
    <xf numFmtId="164" fontId="3" fillId="0" borderId="1" xfId="1" applyFont="1" applyFill="1" applyBorder="1" applyAlignment="1">
      <alignment vertical="center"/>
    </xf>
    <xf numFmtId="164" fontId="4" fillId="0" borderId="1" xfId="1" applyFont="1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14" fontId="3" fillId="4" borderId="1" xfId="0" applyNumberFormat="1" applyFont="1" applyFill="1" applyBorder="1" applyAlignment="1">
      <alignment horizontal="left" vertical="center" wrapText="1"/>
    </xf>
    <xf numFmtId="164" fontId="3" fillId="4" borderId="1" xfId="1" applyFont="1" applyFill="1" applyBorder="1" applyAlignment="1">
      <alignment horizontal="left" vertical="center" wrapText="1"/>
    </xf>
    <xf numFmtId="14" fontId="3" fillId="4" borderId="1" xfId="1" applyNumberFormat="1" applyFont="1" applyFill="1" applyBorder="1" applyAlignment="1">
      <alignment horizontal="left" vertical="center" wrapText="1"/>
    </xf>
    <xf numFmtId="164" fontId="3" fillId="4" borderId="1" xfId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14" fontId="4" fillId="4" borderId="1" xfId="0" applyNumberFormat="1" applyFont="1" applyFill="1" applyBorder="1" applyAlignment="1">
      <alignment horizontal="left" vertical="center" wrapText="1"/>
    </xf>
    <xf numFmtId="164" fontId="4" fillId="4" borderId="1" xfId="1" applyFont="1" applyFill="1" applyBorder="1" applyAlignment="1">
      <alignment horizontal="left" vertical="center" wrapText="1"/>
    </xf>
    <xf numFmtId="14" fontId="4" fillId="4" borderId="1" xfId="1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/>
    </xf>
    <xf numFmtId="0" fontId="0" fillId="4" borderId="1" xfId="0" applyFill="1" applyBorder="1"/>
    <xf numFmtId="0" fontId="4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Continuous" vertical="center" wrapText="1"/>
    </xf>
    <xf numFmtId="0" fontId="4" fillId="3" borderId="1" xfId="0" applyFont="1" applyFill="1" applyBorder="1" applyAlignment="1">
      <alignment horizontal="left"/>
    </xf>
    <xf numFmtId="14" fontId="3" fillId="0" borderId="1" xfId="1" applyNumberFormat="1" applyFont="1" applyFill="1" applyBorder="1" applyAlignment="1">
      <alignment horizontal="left" vertical="center" wrapText="1"/>
    </xf>
    <xf numFmtId="164" fontId="4" fillId="0" borderId="1" xfId="1" applyFont="1" applyFill="1" applyBorder="1" applyAlignment="1">
      <alignment horizontal="left" vertical="center" wrapText="1"/>
    </xf>
    <xf numFmtId="14" fontId="4" fillId="0" borderId="1" xfId="1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54946-DB7E-4A35-8421-E8492EDBAAE0}" name="Tabela2" displayName="Tabela2" ref="A2:N104" totalsRowShown="0" headerRowDxfId="15" dataDxfId="14" tableBorderDxfId="13" dataCellStyle="Moeda">
  <autoFilter ref="A2:N104" xr:uid="{37154946-DB7E-4A35-8421-E8492EDBAAE0}"/>
  <tableColumns count="14">
    <tableColumn id="1" xr3:uid="{BFB795D4-17C7-4BBA-8638-D15AB052BF73}" name="Item" dataDxfId="12"/>
    <tableColumn id="2" xr3:uid="{92C0234F-7D84-4B19-B540-79919B390616}" name="Descrição" dataDxfId="11"/>
    <tableColumn id="7" xr3:uid="{C2173790-91C7-4CE9-B189-F904CF8E1066}" name="Nível" dataDxfId="10"/>
    <tableColumn id="12" xr3:uid="{B908612D-990B-4669-8080-70E67111ED1D}" name="Razão NF" dataDxfId="9"/>
    <tableColumn id="9" xr3:uid="{DADBA418-43FC-4D53-82CF-556A7B35EE64}" name="Data NF" dataDxfId="8"/>
    <tableColumn id="8" xr3:uid="{E04A9D78-C40D-4745-8FDB-03A556A15D76}" name="Nº NF" dataDxfId="7"/>
    <tableColumn id="10" xr3:uid="{E157946B-869B-4BF1-B1B7-967CEBD87BF1}" name="Valor NF" dataDxfId="6" dataCellStyle="Moeda"/>
    <tableColumn id="14" xr3:uid="{F48BA129-0CF5-46F8-8739-C864BE3BB16E}" name="Data pagamento" dataDxfId="5" dataCellStyle="Moeda"/>
    <tableColumn id="11" xr3:uid="{0720D42B-CCA9-4CBD-A7D3-E5C24A3B5F78}" name="Forma pagamento" dataDxfId="4"/>
    <tableColumn id="15" xr3:uid="{7342081C-DC17-4A91-9DE7-93FC46A88B9D}" name="Valores aprovados / solicitados"/>
    <tableColumn id="13" xr3:uid="{8699DF71-FBD8-4C6A-B603-C05732F6BE89}" name="Valores contratados" dataDxfId="3"/>
    <tableColumn id="4" xr3:uid="{EA0AF728-22CB-4204-9AEB-4B7649A489E0}" name="Valores investidos até o momento" dataDxfId="2" dataCellStyle="Moeda"/>
    <tableColumn id="5" xr3:uid="{EE087964-5795-4351-82DF-D9F02C7F01D7}" name="Saldo devedor" dataDxfId="1" dataCellStyle="Moeda"/>
    <tableColumn id="6" xr3:uid="{A5DAA116-A2EF-4DD3-896C-6751757D827B}" name="Etapa/Obs.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ACFD5A-97EE-41BC-9532-C0AA27EE3404}" name="Tabela23" displayName="Tabela23" ref="A2:N172" totalsRowShown="0" headerRowDxfId="32" dataDxfId="31" tableBorderDxfId="30" dataCellStyle="Moeda">
  <autoFilter ref="A2:N172" xr:uid="{37154946-DB7E-4A35-8421-E8492EDBAAE0}"/>
  <tableColumns count="14">
    <tableColumn id="1" xr3:uid="{19CF4E2C-1055-4BA0-9489-481BE7303B81}" name="Item" dataDxfId="29"/>
    <tableColumn id="2" xr3:uid="{2A557CAE-5C75-4AAC-ABA2-29FDCEFEE760}" name="Descrição" dataDxfId="28"/>
    <tableColumn id="7" xr3:uid="{1DADE4C2-8C05-48B4-84B0-8AA97E45DF10}" name="Nível" dataDxfId="27"/>
    <tableColumn id="12" xr3:uid="{21A0CEE9-26C8-45EE-BACB-05BC778ECF17}" name="Razão NF" dataDxfId="26"/>
    <tableColumn id="9" xr3:uid="{1B220A1E-A619-4C46-8A2A-91AB250EF581}" name="Data NF" dataDxfId="25"/>
    <tableColumn id="8" xr3:uid="{9F378077-EF10-4AAC-A9DC-8E3E5B75D96A}" name="Nº NF" dataDxfId="24"/>
    <tableColumn id="10" xr3:uid="{035452D8-1C80-44A5-82D4-4842E28CC50D}" name="Valor NF" dataDxfId="23" dataCellStyle="Moeda"/>
    <tableColumn id="14" xr3:uid="{BC325942-354A-46AF-97D8-6024D914F0E9}" name="Data pagamento" dataDxfId="22" dataCellStyle="Moeda"/>
    <tableColumn id="11" xr3:uid="{43D35363-0A38-484F-9E3C-E4FCD3BB1F41}" name="Forma pagamento" dataDxfId="21"/>
    <tableColumn id="16" xr3:uid="{3CB5A23A-B740-4693-916F-5773E91E4AC0}" name="Valores aprovados / solicitados" dataDxfId="20" dataCellStyle="Moeda"/>
    <tableColumn id="13" xr3:uid="{D14F3ECB-38CF-4E93-8EB7-D554CEC04DEC}" name="Valores contratados" dataDxfId="19"/>
    <tableColumn id="4" xr3:uid="{911843A6-0ABD-4298-8415-C2EB100FE5F2}" name="Valores investidos até o momento" dataDxfId="18" dataCellStyle="Moeda"/>
    <tableColumn id="5" xr3:uid="{99B93BC8-6B22-46DB-B2A2-873CFD20159F}" name="Saldo devedor" dataDxfId="17" dataCellStyle="Moeda"/>
    <tableColumn id="6" xr3:uid="{C246196B-36B0-4020-9547-EE9B607364A5}" name="Etapa/Obs.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N107"/>
  <sheetViews>
    <sheetView zoomScale="85" zoomScaleNormal="85" workbookViewId="0">
      <pane ySplit="2" topLeftCell="A24" activePane="bottomLeft" state="frozen"/>
      <selection pane="bottomLeft" activeCell="E59" sqref="E59"/>
    </sheetView>
  </sheetViews>
  <sheetFormatPr defaultRowHeight="15" outlineLevelRow="1" outlineLevelCol="1" x14ac:dyDescent="0.25"/>
  <cols>
    <col min="1" max="1" width="11.140625" bestFit="1" customWidth="1"/>
    <col min="2" max="2" width="52.42578125" bestFit="1" customWidth="1"/>
    <col min="3" max="3" width="17.5703125" customWidth="1"/>
    <col min="4" max="4" width="17.85546875" customWidth="1" outlineLevel="1"/>
    <col min="5" max="5" width="15.28515625" style="34" customWidth="1" outlineLevel="1"/>
    <col min="6" max="6" width="13" customWidth="1" outlineLevel="1"/>
    <col min="7" max="7" width="18.5703125" customWidth="1" outlineLevel="1"/>
    <col min="8" max="8" width="18.7109375" style="34" customWidth="1" outlineLevel="1"/>
    <col min="9" max="9" width="19.140625" customWidth="1" outlineLevel="1"/>
    <col min="10" max="10" width="21.42578125" customWidth="1"/>
    <col min="11" max="11" width="21.28515625" bestFit="1" customWidth="1"/>
    <col min="12" max="12" width="19.42578125" customWidth="1"/>
    <col min="13" max="13" width="22.28515625" bestFit="1" customWidth="1"/>
    <col min="14" max="14" width="36.85546875" customWidth="1" outlineLevel="1"/>
  </cols>
  <sheetData>
    <row r="1" spans="1:14" ht="21" customHeight="1" x14ac:dyDescent="0.25">
      <c r="A1" s="84" t="s">
        <v>28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spans="1:14" ht="56.25" x14ac:dyDescent="0.25">
      <c r="A2" s="13" t="s">
        <v>0</v>
      </c>
      <c r="B2" s="14" t="s">
        <v>1</v>
      </c>
      <c r="C2" s="14" t="s">
        <v>29</v>
      </c>
      <c r="D2" s="13" t="s">
        <v>39</v>
      </c>
      <c r="E2" s="28" t="s">
        <v>33</v>
      </c>
      <c r="F2" s="14" t="s">
        <v>34</v>
      </c>
      <c r="G2" s="14" t="s">
        <v>35</v>
      </c>
      <c r="H2" s="28" t="s">
        <v>45</v>
      </c>
      <c r="I2" s="14" t="s">
        <v>36</v>
      </c>
      <c r="J2" s="14" t="s">
        <v>2</v>
      </c>
      <c r="K2" s="14" t="s">
        <v>43</v>
      </c>
      <c r="L2" s="14" t="s">
        <v>3</v>
      </c>
      <c r="M2" s="14" t="s">
        <v>4</v>
      </c>
      <c r="N2" s="14" t="s">
        <v>82</v>
      </c>
    </row>
    <row r="3" spans="1:14" s="44" customFormat="1" ht="18.75" x14ac:dyDescent="0.3">
      <c r="A3" s="38">
        <v>1</v>
      </c>
      <c r="B3" s="39" t="s">
        <v>104</v>
      </c>
      <c r="C3" s="39" t="s">
        <v>30</v>
      </c>
      <c r="D3" s="40" t="s">
        <v>71</v>
      </c>
      <c r="E3" s="41"/>
      <c r="F3" s="39"/>
      <c r="G3" s="27">
        <f>SUM(G4:G8)</f>
        <v>37397.25</v>
      </c>
      <c r="H3" s="42"/>
      <c r="I3" s="39"/>
      <c r="J3" s="27">
        <v>37397.25</v>
      </c>
      <c r="K3" s="27">
        <v>37397.25</v>
      </c>
      <c r="L3" s="2">
        <f>+Tabela2[[#This Row],[Valor NF]]</f>
        <v>37397.25</v>
      </c>
      <c r="M3" s="2">
        <f>+Tabela2[[#This Row],[Valores contratados]]-Tabela2[[#This Row],[Valores investidos até o momento]]</f>
        <v>0</v>
      </c>
      <c r="N3" s="43" t="s">
        <v>9</v>
      </c>
    </row>
    <row r="4" spans="1:14" ht="18.75" hidden="1" outlineLevel="1" x14ac:dyDescent="0.3">
      <c r="A4" s="15" t="s">
        <v>5</v>
      </c>
      <c r="B4" s="1" t="s">
        <v>104</v>
      </c>
      <c r="C4" s="1" t="s">
        <v>30</v>
      </c>
      <c r="D4" s="24" t="s">
        <v>46</v>
      </c>
      <c r="E4" s="29">
        <v>45756</v>
      </c>
      <c r="F4" s="1">
        <v>12</v>
      </c>
      <c r="G4" s="21">
        <v>1300.3</v>
      </c>
      <c r="H4" s="35">
        <v>45762</v>
      </c>
      <c r="I4" s="1" t="s">
        <v>48</v>
      </c>
      <c r="J4" s="2"/>
      <c r="K4" s="21"/>
      <c r="L4" s="2"/>
      <c r="M4" s="2"/>
      <c r="N4" s="16"/>
    </row>
    <row r="5" spans="1:14" ht="18.75" hidden="1" outlineLevel="1" x14ac:dyDescent="0.3">
      <c r="A5" s="15" t="s">
        <v>7</v>
      </c>
      <c r="B5" s="1" t="s">
        <v>104</v>
      </c>
      <c r="C5" s="1" t="s">
        <v>30</v>
      </c>
      <c r="D5" s="24" t="s">
        <v>46</v>
      </c>
      <c r="E5" s="29">
        <v>45740</v>
      </c>
      <c r="F5" s="1">
        <v>10</v>
      </c>
      <c r="G5" s="21">
        <v>12922.95</v>
      </c>
      <c r="H5" s="35">
        <v>45746</v>
      </c>
      <c r="I5" s="1" t="s">
        <v>48</v>
      </c>
      <c r="J5" s="2"/>
      <c r="K5" s="21"/>
      <c r="L5" s="2"/>
      <c r="M5" s="2"/>
      <c r="N5" s="16"/>
    </row>
    <row r="6" spans="1:14" ht="18.75" hidden="1" outlineLevel="1" x14ac:dyDescent="0.3">
      <c r="A6" s="15" t="s">
        <v>10</v>
      </c>
      <c r="B6" s="1" t="s">
        <v>104</v>
      </c>
      <c r="C6" s="1" t="s">
        <v>30</v>
      </c>
      <c r="D6" s="24" t="s">
        <v>46</v>
      </c>
      <c r="E6" s="29">
        <v>45728</v>
      </c>
      <c r="F6" s="1">
        <v>8</v>
      </c>
      <c r="G6" s="21">
        <v>14000</v>
      </c>
      <c r="H6" s="35">
        <v>45736</v>
      </c>
      <c r="I6" s="1" t="s">
        <v>48</v>
      </c>
      <c r="J6" s="2"/>
      <c r="K6" s="21"/>
      <c r="L6" s="2"/>
      <c r="M6" s="2"/>
      <c r="N6" s="16"/>
    </row>
    <row r="7" spans="1:14" ht="18.75" hidden="1" outlineLevel="1" x14ac:dyDescent="0.3">
      <c r="A7" s="15" t="s">
        <v>12</v>
      </c>
      <c r="B7" s="1" t="s">
        <v>104</v>
      </c>
      <c r="C7" s="1" t="s">
        <v>30</v>
      </c>
      <c r="D7" s="24" t="s">
        <v>102</v>
      </c>
      <c r="E7" s="29">
        <v>45708</v>
      </c>
      <c r="F7" s="1">
        <v>352</v>
      </c>
      <c r="G7" s="21">
        <v>4587</v>
      </c>
      <c r="H7" s="35">
        <v>45713</v>
      </c>
      <c r="I7" s="1" t="s">
        <v>48</v>
      </c>
      <c r="J7" s="2"/>
      <c r="K7" s="21"/>
      <c r="L7" s="2"/>
      <c r="M7" s="2"/>
      <c r="N7" s="16"/>
    </row>
    <row r="8" spans="1:14" ht="18.75" hidden="1" outlineLevel="1" x14ac:dyDescent="0.3">
      <c r="A8" s="15" t="s">
        <v>14</v>
      </c>
      <c r="B8" s="1" t="s">
        <v>104</v>
      </c>
      <c r="C8" s="1" t="s">
        <v>30</v>
      </c>
      <c r="D8" s="24" t="s">
        <v>102</v>
      </c>
      <c r="E8" s="29">
        <v>46105</v>
      </c>
      <c r="F8" s="1">
        <v>358</v>
      </c>
      <c r="G8" s="21">
        <v>4587</v>
      </c>
      <c r="H8" s="35">
        <v>46111</v>
      </c>
      <c r="I8" s="1" t="s">
        <v>48</v>
      </c>
      <c r="J8" s="2"/>
      <c r="K8" s="21"/>
      <c r="L8" s="2"/>
      <c r="M8" s="2"/>
      <c r="N8" s="16"/>
    </row>
    <row r="9" spans="1:14" s="44" customFormat="1" ht="18.75" collapsed="1" x14ac:dyDescent="0.3">
      <c r="A9" s="38">
        <v>2</v>
      </c>
      <c r="B9" s="39" t="s">
        <v>100</v>
      </c>
      <c r="C9" s="39" t="s">
        <v>30</v>
      </c>
      <c r="D9" s="40" t="s">
        <v>46</v>
      </c>
      <c r="E9" s="41"/>
      <c r="F9" s="39"/>
      <c r="G9" s="27">
        <f>SUM(G10:G12)</f>
        <v>53482.66</v>
      </c>
      <c r="H9" s="42"/>
      <c r="I9" s="39"/>
      <c r="J9" s="27">
        <v>53482.66</v>
      </c>
      <c r="K9" s="27">
        <v>53482.66</v>
      </c>
      <c r="L9" s="2">
        <f>+Tabela2[[#This Row],[Valor NF]]</f>
        <v>53482.66</v>
      </c>
      <c r="M9" s="2">
        <f>+Tabela2[[#This Row],[Valores contratados]]-Tabela2[[#This Row],[Valores investidos até o momento]]</f>
        <v>0</v>
      </c>
      <c r="N9" s="43" t="s">
        <v>9</v>
      </c>
    </row>
    <row r="10" spans="1:14" ht="18.75" hidden="1" outlineLevel="1" x14ac:dyDescent="0.3">
      <c r="A10" s="15" t="s">
        <v>49</v>
      </c>
      <c r="B10" s="1" t="s">
        <v>100</v>
      </c>
      <c r="C10" s="1" t="s">
        <v>30</v>
      </c>
      <c r="D10" s="24" t="s">
        <v>46</v>
      </c>
      <c r="E10" s="29">
        <v>45723</v>
      </c>
      <c r="F10" s="1">
        <v>7</v>
      </c>
      <c r="G10" s="21">
        <v>18940.66</v>
      </c>
      <c r="H10" s="35">
        <v>45731</v>
      </c>
      <c r="I10" s="1" t="s">
        <v>48</v>
      </c>
      <c r="J10" s="2"/>
      <c r="K10" s="21"/>
      <c r="L10" s="2"/>
      <c r="M10" s="2"/>
      <c r="N10" s="16"/>
    </row>
    <row r="11" spans="1:14" ht="18.75" hidden="1" outlineLevel="1" x14ac:dyDescent="0.3">
      <c r="A11" s="15" t="s">
        <v>50</v>
      </c>
      <c r="B11" s="1" t="s">
        <v>100</v>
      </c>
      <c r="C11" s="1" t="s">
        <v>30</v>
      </c>
      <c r="D11" s="24" t="s">
        <v>46</v>
      </c>
      <c r="E11" s="29">
        <v>45740</v>
      </c>
      <c r="F11" s="1">
        <v>9</v>
      </c>
      <c r="G11" s="21">
        <v>23944.78</v>
      </c>
      <c r="H11" s="35">
        <v>45746</v>
      </c>
      <c r="I11" s="1" t="s">
        <v>48</v>
      </c>
      <c r="J11" s="2"/>
      <c r="K11" s="21"/>
      <c r="L11" s="2"/>
      <c r="M11" s="2"/>
      <c r="N11" s="16"/>
    </row>
    <row r="12" spans="1:14" ht="18.75" hidden="1" outlineLevel="1" x14ac:dyDescent="0.3">
      <c r="A12" s="15" t="s">
        <v>51</v>
      </c>
      <c r="B12" s="1" t="s">
        <v>100</v>
      </c>
      <c r="C12" s="1" t="s">
        <v>30</v>
      </c>
      <c r="D12" s="24" t="s">
        <v>46</v>
      </c>
      <c r="E12" s="29">
        <v>45756</v>
      </c>
      <c r="F12" s="1">
        <v>11</v>
      </c>
      <c r="G12" s="21">
        <v>10597.22</v>
      </c>
      <c r="H12" s="35">
        <v>45762</v>
      </c>
      <c r="I12" s="1" t="s">
        <v>48</v>
      </c>
      <c r="J12" s="2"/>
      <c r="K12" s="21"/>
      <c r="L12" s="2"/>
      <c r="M12" s="2"/>
      <c r="N12" s="16"/>
    </row>
    <row r="13" spans="1:14" s="44" customFormat="1" ht="18.75" collapsed="1" x14ac:dyDescent="0.3">
      <c r="A13" s="45">
        <v>3</v>
      </c>
      <c r="B13" s="46" t="s">
        <v>101</v>
      </c>
      <c r="C13" s="46" t="s">
        <v>31</v>
      </c>
      <c r="D13" s="47" t="s">
        <v>46</v>
      </c>
      <c r="E13" s="48"/>
      <c r="F13" s="46"/>
      <c r="G13" s="60">
        <f>SUM(G14:G17)</f>
        <v>25778.5</v>
      </c>
      <c r="H13" s="50"/>
      <c r="I13" s="46"/>
      <c r="J13" s="49">
        <v>25778.5</v>
      </c>
      <c r="K13" s="49">
        <v>25778.5</v>
      </c>
      <c r="L13" s="4">
        <f>+Tabela2[[#This Row],[Valor NF]]</f>
        <v>25778.5</v>
      </c>
      <c r="M13" s="4">
        <f>+Tabela2[[#This Row],[Valores contratados]]-Tabela2[[#This Row],[Valores investidos até o momento]]</f>
        <v>0</v>
      </c>
      <c r="N13" s="51" t="s">
        <v>9</v>
      </c>
    </row>
    <row r="14" spans="1:14" ht="18.75" hidden="1" outlineLevel="1" x14ac:dyDescent="0.3">
      <c r="A14" s="17" t="s">
        <v>89</v>
      </c>
      <c r="B14" s="3" t="s">
        <v>101</v>
      </c>
      <c r="C14" s="3" t="s">
        <v>31</v>
      </c>
      <c r="D14" s="25" t="s">
        <v>103</v>
      </c>
      <c r="E14" s="30">
        <v>45734</v>
      </c>
      <c r="F14" s="3">
        <v>3</v>
      </c>
      <c r="G14" s="22">
        <v>11296.5</v>
      </c>
      <c r="H14" s="36">
        <v>45741</v>
      </c>
      <c r="I14" s="3" t="s">
        <v>48</v>
      </c>
      <c r="J14" s="4"/>
      <c r="K14" s="22"/>
      <c r="L14" s="4"/>
      <c r="M14" s="4"/>
      <c r="N14" s="18">
        <v>1329</v>
      </c>
    </row>
    <row r="15" spans="1:14" ht="18.75" hidden="1" outlineLevel="1" x14ac:dyDescent="0.3">
      <c r="A15" s="17" t="s">
        <v>111</v>
      </c>
      <c r="B15" s="3" t="s">
        <v>101</v>
      </c>
      <c r="C15" s="3" t="s">
        <v>31</v>
      </c>
      <c r="D15" s="25" t="s">
        <v>46</v>
      </c>
      <c r="E15" s="30">
        <v>45796</v>
      </c>
      <c r="F15" s="3">
        <v>16</v>
      </c>
      <c r="G15" s="22">
        <v>5964</v>
      </c>
      <c r="H15" s="36">
        <v>45802</v>
      </c>
      <c r="I15" s="3" t="s">
        <v>48</v>
      </c>
      <c r="J15" s="4"/>
      <c r="K15" s="22"/>
      <c r="L15" s="4"/>
      <c r="M15" s="4"/>
      <c r="N15" s="18">
        <f>316+110</f>
        <v>426</v>
      </c>
    </row>
    <row r="16" spans="1:14" ht="18.75" hidden="1" outlineLevel="1" x14ac:dyDescent="0.3">
      <c r="A16" s="17" t="s">
        <v>112</v>
      </c>
      <c r="B16" s="3" t="s">
        <v>101</v>
      </c>
      <c r="C16" s="3" t="s">
        <v>31</v>
      </c>
      <c r="D16" s="25" t="s">
        <v>46</v>
      </c>
      <c r="E16" s="30">
        <v>45831</v>
      </c>
      <c r="F16" s="3">
        <v>18</v>
      </c>
      <c r="G16" s="22">
        <v>5200</v>
      </c>
      <c r="H16" s="36">
        <v>45836</v>
      </c>
      <c r="I16" s="3" t="s">
        <v>48</v>
      </c>
      <c r="J16" s="4"/>
      <c r="K16" s="22"/>
      <c r="L16" s="4"/>
      <c r="M16" s="4"/>
      <c r="N16" s="18">
        <v>400</v>
      </c>
    </row>
    <row r="17" spans="1:14" ht="18.75" hidden="1" outlineLevel="1" x14ac:dyDescent="0.3">
      <c r="A17" s="17" t="s">
        <v>107</v>
      </c>
      <c r="B17" s="3" t="s">
        <v>101</v>
      </c>
      <c r="C17" s="3" t="s">
        <v>31</v>
      </c>
      <c r="D17" s="25" t="s">
        <v>46</v>
      </c>
      <c r="E17" s="30">
        <v>46002</v>
      </c>
      <c r="F17" s="3">
        <v>11</v>
      </c>
      <c r="G17" s="22">
        <v>3318</v>
      </c>
      <c r="H17" s="36">
        <v>46006</v>
      </c>
      <c r="I17" s="3" t="s">
        <v>48</v>
      </c>
      <c r="J17" s="4"/>
      <c r="K17" s="22"/>
      <c r="L17" s="4"/>
      <c r="M17" s="4"/>
      <c r="N17" s="18">
        <v>237</v>
      </c>
    </row>
    <row r="18" spans="1:14" s="44" customFormat="1" ht="18.75" collapsed="1" x14ac:dyDescent="0.3">
      <c r="A18" s="38">
        <v>4</v>
      </c>
      <c r="B18" s="39" t="s">
        <v>6</v>
      </c>
      <c r="C18" s="39" t="s">
        <v>30</v>
      </c>
      <c r="D18" s="40" t="s">
        <v>71</v>
      </c>
      <c r="E18" s="41"/>
      <c r="F18" s="39"/>
      <c r="G18" s="27">
        <f>SUM(G19:G34)</f>
        <v>258813.85</v>
      </c>
      <c r="H18" s="42"/>
      <c r="I18" s="39"/>
      <c r="J18" s="2">
        <v>285430</v>
      </c>
      <c r="K18" s="27">
        <v>254150</v>
      </c>
      <c r="L18" s="2">
        <f>+Tabela2[[#This Row],[Valor NF]]</f>
        <v>258813.85</v>
      </c>
      <c r="M18" s="2">
        <f>+Tabela2[[#This Row],[Valores contratados]]-Tabela2[[#This Row],[Valores investidos até o momento]]</f>
        <v>-4663.8500000000058</v>
      </c>
      <c r="N18" s="43" t="s">
        <v>16</v>
      </c>
    </row>
    <row r="19" spans="1:14" ht="18.75" outlineLevel="1" x14ac:dyDescent="0.3">
      <c r="A19" s="15" t="s">
        <v>90</v>
      </c>
      <c r="B19" s="1" t="s">
        <v>6</v>
      </c>
      <c r="C19" s="1" t="s">
        <v>30</v>
      </c>
      <c r="D19" s="24" t="s">
        <v>42</v>
      </c>
      <c r="E19" s="29">
        <v>45854</v>
      </c>
      <c r="F19" s="1">
        <v>3469</v>
      </c>
      <c r="G19" s="21">
        <v>11730</v>
      </c>
      <c r="H19" s="35">
        <v>45859</v>
      </c>
      <c r="I19" s="1" t="s">
        <v>44</v>
      </c>
      <c r="J19" s="2"/>
      <c r="K19" s="21"/>
      <c r="L19" s="2"/>
      <c r="M19" s="2"/>
      <c r="N19" s="16"/>
    </row>
    <row r="20" spans="1:14" ht="18.75" outlineLevel="1" x14ac:dyDescent="0.3">
      <c r="A20" s="15" t="s">
        <v>113</v>
      </c>
      <c r="B20" s="1" t="s">
        <v>6</v>
      </c>
      <c r="C20" s="1" t="s">
        <v>30</v>
      </c>
      <c r="D20" s="24" t="s">
        <v>40</v>
      </c>
      <c r="E20" s="29">
        <v>45849</v>
      </c>
      <c r="F20" s="1">
        <v>64535</v>
      </c>
      <c r="G20" s="21">
        <v>17106.25</v>
      </c>
      <c r="H20" s="35">
        <v>45879</v>
      </c>
      <c r="I20" s="1" t="s">
        <v>44</v>
      </c>
      <c r="J20" s="2"/>
      <c r="K20" s="21"/>
      <c r="L20" s="2"/>
      <c r="M20" s="2"/>
      <c r="N20" s="16"/>
    </row>
    <row r="21" spans="1:14" ht="18.75" outlineLevel="1" x14ac:dyDescent="0.3">
      <c r="A21" s="15" t="s">
        <v>105</v>
      </c>
      <c r="B21" s="1" t="s">
        <v>6</v>
      </c>
      <c r="C21" s="1" t="s">
        <v>30</v>
      </c>
      <c r="D21" s="24" t="s">
        <v>41</v>
      </c>
      <c r="E21" s="29">
        <v>45849</v>
      </c>
      <c r="F21" s="1">
        <v>415</v>
      </c>
      <c r="G21" s="21">
        <v>17106.25</v>
      </c>
      <c r="H21" s="35">
        <v>45880</v>
      </c>
      <c r="I21" s="1" t="s">
        <v>44</v>
      </c>
      <c r="J21" s="2"/>
      <c r="K21" s="21"/>
      <c r="L21" s="2"/>
      <c r="M21" s="2"/>
      <c r="N21" s="16"/>
    </row>
    <row r="22" spans="1:14" ht="18.75" outlineLevel="1" x14ac:dyDescent="0.3">
      <c r="A22" s="15" t="s">
        <v>114</v>
      </c>
      <c r="B22" s="1" t="s">
        <v>6</v>
      </c>
      <c r="C22" s="1" t="s">
        <v>30</v>
      </c>
      <c r="D22" s="24" t="s">
        <v>42</v>
      </c>
      <c r="E22" s="29">
        <v>45887</v>
      </c>
      <c r="F22" s="1">
        <v>3991</v>
      </c>
      <c r="G22" s="21">
        <v>35190</v>
      </c>
      <c r="H22" s="35">
        <v>45889</v>
      </c>
      <c r="I22" s="1" t="s">
        <v>44</v>
      </c>
      <c r="J22" s="2"/>
      <c r="K22" s="21"/>
      <c r="L22" s="2"/>
      <c r="M22" s="2"/>
      <c r="N22" s="16"/>
    </row>
    <row r="23" spans="1:14" ht="18.75" outlineLevel="1" x14ac:dyDescent="0.3">
      <c r="A23" s="15" t="s">
        <v>110</v>
      </c>
      <c r="B23" s="1" t="s">
        <v>6</v>
      </c>
      <c r="C23" s="1" t="s">
        <v>30</v>
      </c>
      <c r="D23" s="24" t="s">
        <v>40</v>
      </c>
      <c r="E23" s="29">
        <v>45849</v>
      </c>
      <c r="F23" s="1">
        <v>64535</v>
      </c>
      <c r="G23" s="21">
        <v>17106.25</v>
      </c>
      <c r="H23" s="35">
        <v>45909</v>
      </c>
      <c r="I23" s="1" t="s">
        <v>44</v>
      </c>
      <c r="J23" s="2"/>
      <c r="K23" s="21"/>
      <c r="L23" s="2"/>
      <c r="M23" s="2"/>
      <c r="N23" s="16"/>
    </row>
    <row r="24" spans="1:14" ht="18.75" outlineLevel="1" x14ac:dyDescent="0.3">
      <c r="A24" s="15" t="s">
        <v>115</v>
      </c>
      <c r="B24" s="1" t="s">
        <v>6</v>
      </c>
      <c r="C24" s="1" t="s">
        <v>30</v>
      </c>
      <c r="D24" s="24" t="s">
        <v>41</v>
      </c>
      <c r="E24" s="29">
        <v>45849</v>
      </c>
      <c r="F24" s="1">
        <v>415</v>
      </c>
      <c r="G24" s="21">
        <v>17106.25</v>
      </c>
      <c r="H24" s="35">
        <v>45909</v>
      </c>
      <c r="I24" s="1" t="s">
        <v>44</v>
      </c>
      <c r="J24" s="2"/>
      <c r="K24" s="21"/>
      <c r="L24" s="2"/>
      <c r="M24" s="2"/>
      <c r="N24" s="16"/>
    </row>
    <row r="25" spans="1:14" ht="18.75" outlineLevel="1" x14ac:dyDescent="0.3">
      <c r="A25" s="15" t="s">
        <v>109</v>
      </c>
      <c r="B25" s="1" t="s">
        <v>6</v>
      </c>
      <c r="C25" s="1" t="s">
        <v>30</v>
      </c>
      <c r="D25" s="24" t="s">
        <v>42</v>
      </c>
      <c r="E25" s="29">
        <v>45903</v>
      </c>
      <c r="F25" s="1">
        <v>4513</v>
      </c>
      <c r="G25" s="21">
        <v>35190</v>
      </c>
      <c r="H25" s="35">
        <v>45922</v>
      </c>
      <c r="I25" s="1" t="s">
        <v>44</v>
      </c>
      <c r="J25" s="2"/>
      <c r="K25" s="21"/>
      <c r="L25" s="2"/>
      <c r="M25" s="2"/>
      <c r="N25" s="16"/>
    </row>
    <row r="26" spans="1:14" ht="18.75" outlineLevel="1" x14ac:dyDescent="0.3">
      <c r="A26" s="15" t="s">
        <v>116</v>
      </c>
      <c r="B26" s="1" t="s">
        <v>6</v>
      </c>
      <c r="C26" s="1" t="s">
        <v>30</v>
      </c>
      <c r="D26" s="24" t="s">
        <v>40</v>
      </c>
      <c r="E26" s="29">
        <v>45849</v>
      </c>
      <c r="F26" s="1">
        <v>64535</v>
      </c>
      <c r="G26" s="21">
        <v>17106.25</v>
      </c>
      <c r="H26" s="35">
        <v>45939</v>
      </c>
      <c r="I26" s="1" t="s">
        <v>44</v>
      </c>
      <c r="J26" s="2"/>
      <c r="K26" s="21"/>
      <c r="L26" s="2"/>
      <c r="M26" s="2"/>
      <c r="N26" s="16"/>
    </row>
    <row r="27" spans="1:14" ht="18.75" outlineLevel="1" x14ac:dyDescent="0.3">
      <c r="A27" s="15" t="s">
        <v>117</v>
      </c>
      <c r="B27" s="1" t="s">
        <v>6</v>
      </c>
      <c r="C27" s="1" t="s">
        <v>30</v>
      </c>
      <c r="D27" s="24" t="s">
        <v>41</v>
      </c>
      <c r="E27" s="29">
        <v>45849</v>
      </c>
      <c r="F27" s="1">
        <v>415</v>
      </c>
      <c r="G27" s="21">
        <v>17106.25</v>
      </c>
      <c r="H27" s="35">
        <v>45939</v>
      </c>
      <c r="I27" s="1" t="s">
        <v>44</v>
      </c>
      <c r="J27" s="2"/>
      <c r="K27" s="21"/>
      <c r="L27" s="2"/>
      <c r="M27" s="2"/>
      <c r="N27" s="16"/>
    </row>
    <row r="28" spans="1:14" ht="18.75" outlineLevel="1" x14ac:dyDescent="0.3">
      <c r="A28" s="15" t="s">
        <v>118</v>
      </c>
      <c r="B28" s="1" t="s">
        <v>6</v>
      </c>
      <c r="C28" s="1" t="s">
        <v>30</v>
      </c>
      <c r="D28" s="24" t="s">
        <v>42</v>
      </c>
      <c r="E28" s="29">
        <v>45939</v>
      </c>
      <c r="F28" s="1">
        <v>5047</v>
      </c>
      <c r="G28" s="21">
        <v>29325</v>
      </c>
      <c r="H28" s="35">
        <v>45950</v>
      </c>
      <c r="I28" s="1" t="s">
        <v>44</v>
      </c>
      <c r="J28" s="2"/>
      <c r="K28" s="21"/>
      <c r="L28" s="2"/>
      <c r="M28" s="2"/>
      <c r="N28" s="16"/>
    </row>
    <row r="29" spans="1:14" ht="18.75" outlineLevel="1" x14ac:dyDescent="0.3">
      <c r="A29" s="15" t="s">
        <v>119</v>
      </c>
      <c r="B29" s="1" t="s">
        <v>6</v>
      </c>
      <c r="C29" s="1" t="s">
        <v>30</v>
      </c>
      <c r="D29" s="24" t="s">
        <v>40</v>
      </c>
      <c r="E29" s="29">
        <v>45849</v>
      </c>
      <c r="F29" s="1">
        <v>64535</v>
      </c>
      <c r="G29" s="21">
        <v>17106.25</v>
      </c>
      <c r="H29" s="35">
        <v>45969</v>
      </c>
      <c r="I29" s="1" t="s">
        <v>44</v>
      </c>
      <c r="J29" s="2"/>
      <c r="K29" s="21"/>
      <c r="L29" s="2"/>
      <c r="M29" s="2"/>
      <c r="N29" s="16"/>
    </row>
    <row r="30" spans="1:14" ht="18.75" outlineLevel="1" x14ac:dyDescent="0.3">
      <c r="A30" s="15" t="s">
        <v>120</v>
      </c>
      <c r="B30" s="1" t="s">
        <v>6</v>
      </c>
      <c r="C30" s="1" t="s">
        <v>30</v>
      </c>
      <c r="D30" s="24" t="s">
        <v>41</v>
      </c>
      <c r="E30" s="29">
        <v>45849</v>
      </c>
      <c r="F30" s="1">
        <v>415</v>
      </c>
      <c r="G30" s="21">
        <v>17106.25</v>
      </c>
      <c r="H30" s="35">
        <v>45971</v>
      </c>
      <c r="I30" s="1" t="s">
        <v>44</v>
      </c>
      <c r="J30" s="2"/>
      <c r="K30" s="21"/>
      <c r="L30" s="2"/>
      <c r="M30" s="2"/>
      <c r="N30" s="16"/>
    </row>
    <row r="31" spans="1:14" ht="18.75" outlineLevel="1" x14ac:dyDescent="0.3">
      <c r="A31" s="15" t="s">
        <v>121</v>
      </c>
      <c r="B31" s="1" t="s">
        <v>56</v>
      </c>
      <c r="C31" s="1" t="s">
        <v>57</v>
      </c>
      <c r="D31" s="24" t="s">
        <v>58</v>
      </c>
      <c r="E31" s="29">
        <v>46003</v>
      </c>
      <c r="F31" s="1">
        <v>22</v>
      </c>
      <c r="G31" s="21">
        <v>608.85</v>
      </c>
      <c r="H31" s="35">
        <v>46008</v>
      </c>
      <c r="I31" s="1" t="s">
        <v>48</v>
      </c>
      <c r="J31" s="57"/>
      <c r="K31" s="21"/>
      <c r="L31" s="57"/>
      <c r="M31" s="57"/>
      <c r="N31" s="16" t="s">
        <v>57</v>
      </c>
    </row>
    <row r="32" spans="1:14" ht="18.75" outlineLevel="1" x14ac:dyDescent="0.3">
      <c r="A32" s="15" t="s">
        <v>122</v>
      </c>
      <c r="B32" s="1" t="s">
        <v>6</v>
      </c>
      <c r="C32" s="1" t="s">
        <v>30</v>
      </c>
      <c r="D32" s="24" t="s">
        <v>42</v>
      </c>
      <c r="E32" s="29">
        <v>46010</v>
      </c>
      <c r="F32" s="1">
        <v>130408</v>
      </c>
      <c r="G32" s="21">
        <v>920</v>
      </c>
      <c r="H32" s="35">
        <v>46021</v>
      </c>
      <c r="I32" s="1" t="s">
        <v>44</v>
      </c>
      <c r="J32" s="2"/>
      <c r="K32" s="21"/>
      <c r="L32" s="2"/>
      <c r="M32" s="2"/>
      <c r="N32" s="16" t="s">
        <v>68</v>
      </c>
    </row>
    <row r="33" spans="1:14" ht="18.75" outlineLevel="1" x14ac:dyDescent="0.3">
      <c r="A33" s="15" t="s">
        <v>123</v>
      </c>
      <c r="B33" s="1" t="s">
        <v>6</v>
      </c>
      <c r="C33" s="1" t="s">
        <v>30</v>
      </c>
      <c r="D33" s="24" t="s">
        <v>42</v>
      </c>
      <c r="E33" s="29">
        <v>46132</v>
      </c>
      <c r="F33" s="1">
        <v>3241</v>
      </c>
      <c r="G33" s="21">
        <v>9000</v>
      </c>
      <c r="H33" s="35">
        <v>46162</v>
      </c>
      <c r="I33" s="1" t="s">
        <v>44</v>
      </c>
      <c r="J33" s="2"/>
      <c r="K33" s="21"/>
      <c r="L33" s="2"/>
      <c r="M33" s="2"/>
      <c r="N33" s="16" t="s">
        <v>231</v>
      </c>
    </row>
    <row r="34" spans="1:14" ht="18.75" outlineLevel="1" x14ac:dyDescent="0.3">
      <c r="A34" s="15" t="s">
        <v>124</v>
      </c>
      <c r="B34" s="1" t="s">
        <v>6</v>
      </c>
      <c r="C34" s="1" t="s">
        <v>30</v>
      </c>
      <c r="D34" s="24"/>
      <c r="E34" s="29"/>
      <c r="F34" s="1"/>
      <c r="G34" s="21"/>
      <c r="H34" s="35"/>
      <c r="I34" s="1"/>
      <c r="J34" s="2"/>
      <c r="K34" s="21"/>
      <c r="L34" s="2"/>
      <c r="M34" s="2"/>
      <c r="N34" s="16"/>
    </row>
    <row r="35" spans="1:14" s="44" customFormat="1" ht="18.75" x14ac:dyDescent="0.3">
      <c r="A35" s="45">
        <v>5</v>
      </c>
      <c r="B35" s="46" t="s">
        <v>20</v>
      </c>
      <c r="C35" s="46" t="s">
        <v>31</v>
      </c>
      <c r="D35" s="47" t="s">
        <v>46</v>
      </c>
      <c r="E35" s="48"/>
      <c r="F35" s="46"/>
      <c r="G35" s="60">
        <f>SUM(G36:G39)</f>
        <v>12397.91</v>
      </c>
      <c r="H35" s="50"/>
      <c r="I35" s="46"/>
      <c r="J35" s="4">
        <v>12587.91</v>
      </c>
      <c r="K35" s="4">
        <v>12587.91</v>
      </c>
      <c r="L35" s="4">
        <f>+Tabela2[[#This Row],[Valor NF]]</f>
        <v>12397.91</v>
      </c>
      <c r="M35" s="4">
        <f>+Tabela2[[#This Row],[Valores contratados]]-Tabela2[[#This Row],[Valores investidos até o momento]]</f>
        <v>190</v>
      </c>
      <c r="N35" s="51" t="s">
        <v>9</v>
      </c>
    </row>
    <row r="36" spans="1:14" ht="18.75" hidden="1" outlineLevel="1" x14ac:dyDescent="0.3">
      <c r="A36" s="17" t="s">
        <v>83</v>
      </c>
      <c r="B36" s="3" t="s">
        <v>20</v>
      </c>
      <c r="C36" s="3" t="s">
        <v>31</v>
      </c>
      <c r="D36" s="25" t="s">
        <v>46</v>
      </c>
      <c r="E36" s="30">
        <v>45974</v>
      </c>
      <c r="F36" s="3">
        <v>4</v>
      </c>
      <c r="G36" s="22">
        <v>3536.96</v>
      </c>
      <c r="H36" s="36">
        <v>45981</v>
      </c>
      <c r="I36" s="3" t="s">
        <v>48</v>
      </c>
      <c r="J36" s="4"/>
      <c r="K36" s="22"/>
      <c r="L36" s="4"/>
      <c r="M36" s="4"/>
      <c r="N36" s="18"/>
    </row>
    <row r="37" spans="1:14" ht="18.75" hidden="1" outlineLevel="1" x14ac:dyDescent="0.3">
      <c r="A37" s="17" t="s">
        <v>84</v>
      </c>
      <c r="B37" s="3" t="s">
        <v>20</v>
      </c>
      <c r="C37" s="3" t="s">
        <v>31</v>
      </c>
      <c r="D37" s="25" t="s">
        <v>47</v>
      </c>
      <c r="E37" s="30">
        <v>45972</v>
      </c>
      <c r="F37" s="3">
        <v>15</v>
      </c>
      <c r="G37" s="22">
        <v>1365.04</v>
      </c>
      <c r="H37" s="36">
        <v>45981</v>
      </c>
      <c r="I37" s="3" t="s">
        <v>48</v>
      </c>
      <c r="J37" s="4"/>
      <c r="K37" s="22"/>
      <c r="L37" s="4"/>
      <c r="M37" s="4"/>
      <c r="N37" s="18"/>
    </row>
    <row r="38" spans="1:14" ht="18.75" hidden="1" outlineLevel="1" x14ac:dyDescent="0.3">
      <c r="A38" s="17" t="s">
        <v>125</v>
      </c>
      <c r="B38" s="3" t="s">
        <v>20</v>
      </c>
      <c r="C38" s="3" t="s">
        <v>31</v>
      </c>
      <c r="D38" s="25" t="s">
        <v>46</v>
      </c>
      <c r="E38" s="30">
        <v>45989</v>
      </c>
      <c r="F38" s="3">
        <v>10</v>
      </c>
      <c r="G38" s="22">
        <v>6962.91</v>
      </c>
      <c r="H38" s="36">
        <v>45999</v>
      </c>
      <c r="I38" s="3" t="s">
        <v>48</v>
      </c>
      <c r="J38" s="4"/>
      <c r="K38" s="22"/>
      <c r="L38" s="4"/>
      <c r="M38" s="4"/>
      <c r="N38" s="18"/>
    </row>
    <row r="39" spans="1:14" ht="18.75" hidden="1" outlineLevel="1" x14ac:dyDescent="0.3">
      <c r="A39" s="17" t="s">
        <v>126</v>
      </c>
      <c r="B39" s="3" t="s">
        <v>20</v>
      </c>
      <c r="C39" s="3" t="s">
        <v>31</v>
      </c>
      <c r="D39" s="25" t="s">
        <v>47</v>
      </c>
      <c r="E39" s="30">
        <v>45989</v>
      </c>
      <c r="F39" s="3">
        <v>34</v>
      </c>
      <c r="G39" s="22">
        <v>533</v>
      </c>
      <c r="H39" s="36">
        <v>45999</v>
      </c>
      <c r="I39" s="3" t="s">
        <v>48</v>
      </c>
      <c r="J39" s="4"/>
      <c r="K39" s="22"/>
      <c r="L39" s="4"/>
      <c r="M39" s="4"/>
      <c r="N39" s="18"/>
    </row>
    <row r="40" spans="1:14" s="44" customFormat="1" ht="18.75" collapsed="1" x14ac:dyDescent="0.3">
      <c r="A40" s="45">
        <v>6</v>
      </c>
      <c r="B40" s="46" t="s">
        <v>191</v>
      </c>
      <c r="C40" s="46" t="s">
        <v>31</v>
      </c>
      <c r="D40" s="47" t="s">
        <v>72</v>
      </c>
      <c r="E40" s="48"/>
      <c r="F40" s="46"/>
      <c r="G40" s="49">
        <v>24900</v>
      </c>
      <c r="H40" s="50"/>
      <c r="I40" s="46"/>
      <c r="J40" s="4">
        <v>25000</v>
      </c>
      <c r="K40" s="49">
        <v>25000</v>
      </c>
      <c r="L40" s="4">
        <v>25000</v>
      </c>
      <c r="M40" s="4">
        <v>0</v>
      </c>
      <c r="N40" s="51" t="s">
        <v>9</v>
      </c>
    </row>
    <row r="41" spans="1:14" s="44" customFormat="1" ht="18.75" hidden="1" outlineLevel="1" x14ac:dyDescent="0.3">
      <c r="A41" s="17" t="s">
        <v>127</v>
      </c>
      <c r="B41" s="3" t="s">
        <v>8</v>
      </c>
      <c r="C41" s="3" t="s">
        <v>31</v>
      </c>
      <c r="D41" s="25" t="s">
        <v>72</v>
      </c>
      <c r="E41" s="30">
        <v>45919</v>
      </c>
      <c r="F41" s="3">
        <v>171</v>
      </c>
      <c r="G41" s="22">
        <v>24900</v>
      </c>
      <c r="H41" s="36">
        <v>45925</v>
      </c>
      <c r="I41" s="3" t="s">
        <v>48</v>
      </c>
      <c r="J41" s="4"/>
      <c r="K41" s="49"/>
      <c r="L41" s="4"/>
      <c r="M41" s="4"/>
      <c r="N41" s="51"/>
    </row>
    <row r="42" spans="1:14" s="44" customFormat="1" ht="18.75" collapsed="1" x14ac:dyDescent="0.3">
      <c r="A42" s="45">
        <v>7</v>
      </c>
      <c r="B42" s="46" t="s">
        <v>11</v>
      </c>
      <c r="C42" s="46" t="s">
        <v>31</v>
      </c>
      <c r="D42" s="47" t="s">
        <v>73</v>
      </c>
      <c r="E42" s="48"/>
      <c r="F42" s="46"/>
      <c r="G42" s="49">
        <v>9600</v>
      </c>
      <c r="H42" s="50"/>
      <c r="I42" s="46"/>
      <c r="J42" s="4">
        <v>9600</v>
      </c>
      <c r="K42" s="49">
        <v>9600</v>
      </c>
      <c r="L42" s="4">
        <v>9600</v>
      </c>
      <c r="M42" s="4">
        <v>0</v>
      </c>
      <c r="N42" s="51" t="s">
        <v>9</v>
      </c>
    </row>
    <row r="43" spans="1:14" s="44" customFormat="1" ht="18.75" hidden="1" outlineLevel="1" x14ac:dyDescent="0.3">
      <c r="A43" s="17" t="s">
        <v>76</v>
      </c>
      <c r="B43" s="3" t="s">
        <v>11</v>
      </c>
      <c r="C43" s="3" t="s">
        <v>31</v>
      </c>
      <c r="D43" s="25" t="s">
        <v>73</v>
      </c>
      <c r="E43" s="30">
        <v>45874</v>
      </c>
      <c r="F43" s="3">
        <v>270</v>
      </c>
      <c r="G43" s="22">
        <v>9600</v>
      </c>
      <c r="H43" s="36">
        <v>45881</v>
      </c>
      <c r="I43" s="3" t="s">
        <v>48</v>
      </c>
      <c r="J43" s="4"/>
      <c r="K43" s="49"/>
      <c r="L43" s="4"/>
      <c r="M43" s="4"/>
      <c r="N43" s="51"/>
    </row>
    <row r="44" spans="1:14" s="44" customFormat="1" ht="18.75" collapsed="1" x14ac:dyDescent="0.3">
      <c r="A44" s="45">
        <v>8</v>
      </c>
      <c r="B44" s="52" t="s">
        <v>13</v>
      </c>
      <c r="C44" s="46" t="s">
        <v>31</v>
      </c>
      <c r="D44" s="53" t="s">
        <v>73</v>
      </c>
      <c r="E44" s="54"/>
      <c r="F44" s="52"/>
      <c r="G44" s="60">
        <f>SUM(G45:G46)</f>
        <v>11033.4</v>
      </c>
      <c r="H44" s="56"/>
      <c r="I44" s="52"/>
      <c r="J44" s="5">
        <v>11033.4</v>
      </c>
      <c r="K44" s="55">
        <v>11033.4</v>
      </c>
      <c r="L44" s="4">
        <f>+Tabela2[[#This Row],[Valor NF]]</f>
        <v>11033.4</v>
      </c>
      <c r="M44" s="4">
        <v>0</v>
      </c>
      <c r="N44" s="51" t="s">
        <v>9</v>
      </c>
    </row>
    <row r="45" spans="1:14" ht="18.75" hidden="1" outlineLevel="1" x14ac:dyDescent="0.3">
      <c r="A45" s="17" t="s">
        <v>91</v>
      </c>
      <c r="B45" s="61" t="s">
        <v>13</v>
      </c>
      <c r="C45" s="3" t="s">
        <v>31</v>
      </c>
      <c r="D45" s="62" t="s">
        <v>85</v>
      </c>
      <c r="E45" s="63">
        <v>45854</v>
      </c>
      <c r="F45" s="61">
        <v>266</v>
      </c>
      <c r="G45" s="64">
        <v>3861.69</v>
      </c>
      <c r="H45" s="65">
        <v>45860</v>
      </c>
      <c r="I45" s="61" t="s">
        <v>48</v>
      </c>
      <c r="J45" s="66"/>
      <c r="K45" s="64"/>
      <c r="L45" s="66"/>
      <c r="M45" s="59"/>
      <c r="N45" s="18"/>
    </row>
    <row r="46" spans="1:14" ht="18.75" hidden="1" outlineLevel="1" x14ac:dyDescent="0.3">
      <c r="A46" s="17" t="s">
        <v>128</v>
      </c>
      <c r="B46" s="61" t="s">
        <v>13</v>
      </c>
      <c r="C46" s="3" t="s">
        <v>31</v>
      </c>
      <c r="D46" s="62" t="s">
        <v>85</v>
      </c>
      <c r="E46" s="63">
        <v>45874</v>
      </c>
      <c r="F46" s="61">
        <v>271</v>
      </c>
      <c r="G46" s="64">
        <v>7171.71</v>
      </c>
      <c r="H46" s="65">
        <v>45881</v>
      </c>
      <c r="I46" s="61" t="s">
        <v>48</v>
      </c>
      <c r="J46" s="66"/>
      <c r="K46" s="64"/>
      <c r="L46" s="66"/>
      <c r="M46" s="59"/>
      <c r="N46" s="18"/>
    </row>
    <row r="47" spans="1:14" ht="18.75" collapsed="1" x14ac:dyDescent="0.3">
      <c r="A47" s="38">
        <v>9</v>
      </c>
      <c r="B47" s="39" t="s">
        <v>15</v>
      </c>
      <c r="C47" s="39" t="s">
        <v>30</v>
      </c>
      <c r="D47" s="40" t="s">
        <v>69</v>
      </c>
      <c r="E47" s="41"/>
      <c r="F47" s="39"/>
      <c r="G47" s="27">
        <v>333000</v>
      </c>
      <c r="H47" s="42"/>
      <c r="I47" s="39"/>
      <c r="J47" s="2">
        <v>380000</v>
      </c>
      <c r="K47" s="27">
        <v>333000</v>
      </c>
      <c r="L47" s="2">
        <f>+Tabela2[[#This Row],[Valores contratados]]</f>
        <v>333000</v>
      </c>
      <c r="M47" s="2">
        <v>0</v>
      </c>
      <c r="N47" s="43" t="s">
        <v>9</v>
      </c>
    </row>
    <row r="48" spans="1:14" ht="18.75" x14ac:dyDescent="0.3">
      <c r="A48" s="38">
        <v>9</v>
      </c>
      <c r="B48" s="39" t="s">
        <v>17</v>
      </c>
      <c r="C48" s="39" t="s">
        <v>30</v>
      </c>
      <c r="D48" s="40" t="s">
        <v>69</v>
      </c>
      <c r="E48" s="41"/>
      <c r="F48" s="39"/>
      <c r="G48" s="27">
        <v>50772.67</v>
      </c>
      <c r="H48" s="42"/>
      <c r="I48" s="39"/>
      <c r="J48" s="27">
        <v>50772.67</v>
      </c>
      <c r="K48" s="27">
        <v>50772.67</v>
      </c>
      <c r="L48" s="2">
        <f>32224.89+18547.78</f>
        <v>50772.67</v>
      </c>
      <c r="M48" s="2">
        <f>+J48-L48</f>
        <v>0</v>
      </c>
      <c r="N48" s="43" t="s">
        <v>9</v>
      </c>
    </row>
    <row r="49" spans="1:14" ht="18.75" x14ac:dyDescent="0.3">
      <c r="A49" s="38">
        <v>9</v>
      </c>
      <c r="B49" s="39" t="s">
        <v>18</v>
      </c>
      <c r="C49" s="39" t="s">
        <v>30</v>
      </c>
      <c r="D49" s="40" t="s">
        <v>69</v>
      </c>
      <c r="E49" s="41"/>
      <c r="F49" s="39"/>
      <c r="G49" s="27">
        <v>42429.25</v>
      </c>
      <c r="H49" s="42"/>
      <c r="I49" s="39"/>
      <c r="J49" s="2">
        <v>45000</v>
      </c>
      <c r="K49" s="27">
        <f>5*8485.85</f>
        <v>42429.25</v>
      </c>
      <c r="L49" s="2">
        <f>+Tabela2[[#This Row],[Valores contratados]]</f>
        <v>42429.25</v>
      </c>
      <c r="M49" s="6">
        <v>0</v>
      </c>
      <c r="N49" s="43" t="s">
        <v>9</v>
      </c>
    </row>
    <row r="50" spans="1:14" ht="18.75" hidden="1" outlineLevel="1" x14ac:dyDescent="0.3">
      <c r="A50" s="15" t="s">
        <v>74</v>
      </c>
      <c r="B50" s="1" t="s">
        <v>70</v>
      </c>
      <c r="C50" s="1" t="s">
        <v>30</v>
      </c>
      <c r="D50" s="24" t="s">
        <v>69</v>
      </c>
      <c r="E50" s="29">
        <v>45853</v>
      </c>
      <c r="F50" s="1">
        <v>983</v>
      </c>
      <c r="G50" s="21">
        <v>66600</v>
      </c>
      <c r="H50" s="35">
        <v>45868</v>
      </c>
      <c r="I50" s="1" t="s">
        <v>44</v>
      </c>
      <c r="J50" s="57"/>
      <c r="K50" s="21"/>
      <c r="L50" s="57"/>
      <c r="M50" s="58"/>
      <c r="N50" s="16"/>
    </row>
    <row r="51" spans="1:14" ht="18.75" hidden="1" outlineLevel="1" x14ac:dyDescent="0.3">
      <c r="A51" s="15" t="s">
        <v>75</v>
      </c>
      <c r="B51" s="1" t="s">
        <v>70</v>
      </c>
      <c r="C51" s="1" t="s">
        <v>30</v>
      </c>
      <c r="D51" s="24" t="s">
        <v>69</v>
      </c>
      <c r="E51" s="29">
        <v>45863</v>
      </c>
      <c r="F51" s="1">
        <v>984</v>
      </c>
      <c r="G51" s="21">
        <v>63310.73</v>
      </c>
      <c r="H51" s="35">
        <v>45878</v>
      </c>
      <c r="I51" s="1" t="s">
        <v>44</v>
      </c>
      <c r="J51" s="2"/>
      <c r="K51" s="21"/>
      <c r="L51" s="2"/>
      <c r="M51" s="6"/>
      <c r="N51" s="16"/>
    </row>
    <row r="52" spans="1:14" ht="18.75" hidden="1" outlineLevel="1" x14ac:dyDescent="0.3">
      <c r="A52" s="15" t="s">
        <v>108</v>
      </c>
      <c r="B52" s="1" t="s">
        <v>70</v>
      </c>
      <c r="C52" s="1" t="s">
        <v>30</v>
      </c>
      <c r="D52" s="24" t="s">
        <v>69</v>
      </c>
      <c r="E52" s="29">
        <v>45887</v>
      </c>
      <c r="F52" s="1">
        <v>986</v>
      </c>
      <c r="G52" s="21">
        <v>60824.93</v>
      </c>
      <c r="H52" s="35">
        <v>45902</v>
      </c>
      <c r="I52" s="1" t="s">
        <v>44</v>
      </c>
      <c r="J52" s="2"/>
      <c r="K52" s="21"/>
      <c r="L52" s="2"/>
      <c r="M52" s="6"/>
      <c r="N52" s="16"/>
    </row>
    <row r="53" spans="1:14" ht="18.75" hidden="1" outlineLevel="1" x14ac:dyDescent="0.3">
      <c r="A53" s="15" t="s">
        <v>129</v>
      </c>
      <c r="B53" s="1" t="s">
        <v>70</v>
      </c>
      <c r="C53" s="1" t="s">
        <v>30</v>
      </c>
      <c r="D53" s="24" t="s">
        <v>69</v>
      </c>
      <c r="E53" s="29">
        <v>45896</v>
      </c>
      <c r="F53" s="1">
        <v>987</v>
      </c>
      <c r="G53" s="21">
        <v>87201.86</v>
      </c>
      <c r="H53" s="35">
        <v>45911</v>
      </c>
      <c r="I53" s="1" t="s">
        <v>44</v>
      </c>
      <c r="J53" s="2"/>
      <c r="K53" s="21"/>
      <c r="L53" s="2"/>
      <c r="M53" s="6"/>
      <c r="N53" s="16"/>
    </row>
    <row r="54" spans="1:14" ht="18.75" hidden="1" outlineLevel="1" x14ac:dyDescent="0.3">
      <c r="A54" s="15" t="s">
        <v>130</v>
      </c>
      <c r="B54" s="1" t="s">
        <v>70</v>
      </c>
      <c r="C54" s="1" t="s">
        <v>30</v>
      </c>
      <c r="D54" s="24" t="s">
        <v>69</v>
      </c>
      <c r="E54" s="29">
        <v>45908</v>
      </c>
      <c r="F54" s="1">
        <v>990</v>
      </c>
      <c r="G54" s="21">
        <v>83868.679999999993</v>
      </c>
      <c r="H54" s="35">
        <v>45923</v>
      </c>
      <c r="I54" s="1" t="s">
        <v>44</v>
      </c>
      <c r="J54" s="2"/>
      <c r="K54" s="21"/>
      <c r="L54" s="2"/>
      <c r="M54" s="6"/>
      <c r="N54" s="16"/>
    </row>
    <row r="55" spans="1:14" ht="18.75" hidden="1" outlineLevel="1" x14ac:dyDescent="0.3">
      <c r="A55" s="15" t="s">
        <v>131</v>
      </c>
      <c r="B55" s="1" t="s">
        <v>70</v>
      </c>
      <c r="C55" s="1" t="s">
        <v>30</v>
      </c>
      <c r="D55" s="24" t="s">
        <v>69</v>
      </c>
      <c r="E55" s="29">
        <v>45938</v>
      </c>
      <c r="F55" s="1">
        <v>997</v>
      </c>
      <c r="G55" s="21">
        <v>52708.49</v>
      </c>
      <c r="H55" s="35">
        <v>45944</v>
      </c>
      <c r="I55" s="1" t="s">
        <v>44</v>
      </c>
      <c r="J55" s="2"/>
      <c r="K55" s="21"/>
      <c r="L55" s="2"/>
      <c r="M55" s="6"/>
      <c r="N55" s="16"/>
    </row>
    <row r="56" spans="1:14" ht="18.75" hidden="1" outlineLevel="1" x14ac:dyDescent="0.3">
      <c r="A56" s="15" t="s">
        <v>132</v>
      </c>
      <c r="B56" s="1" t="s">
        <v>70</v>
      </c>
      <c r="C56" s="1" t="s">
        <v>30</v>
      </c>
      <c r="D56" s="24" t="s">
        <v>69</v>
      </c>
      <c r="E56" s="29">
        <v>45945</v>
      </c>
      <c r="F56" s="1">
        <v>998</v>
      </c>
      <c r="G56" s="21">
        <v>11687.26</v>
      </c>
      <c r="H56" s="35">
        <v>45960</v>
      </c>
      <c r="I56" s="1" t="s">
        <v>44</v>
      </c>
      <c r="J56" s="2"/>
      <c r="K56" s="21"/>
      <c r="L56" s="2"/>
      <c r="M56" s="6"/>
      <c r="N56" s="16"/>
    </row>
    <row r="57" spans="1:14" ht="18.75" collapsed="1" x14ac:dyDescent="0.3">
      <c r="A57" s="45">
        <v>10</v>
      </c>
      <c r="B57" s="46" t="s">
        <v>19</v>
      </c>
      <c r="C57" s="46" t="s">
        <v>30</v>
      </c>
      <c r="D57" s="47" t="s">
        <v>73</v>
      </c>
      <c r="E57" s="48"/>
      <c r="F57" s="46"/>
      <c r="G57" s="60">
        <f>SUM(G58:G59)</f>
        <v>11538.31</v>
      </c>
      <c r="H57" s="50"/>
      <c r="I57" s="46"/>
      <c r="J57" s="4">
        <v>32966.6</v>
      </c>
      <c r="K57" s="49">
        <v>32966.6</v>
      </c>
      <c r="L57" s="67">
        <f>+Tabela2[[#This Row],[Valor NF]]</f>
        <v>11538.31</v>
      </c>
      <c r="M57" s="4">
        <f>+Tabela2[[#This Row],[Valores contratados]]-Tabela2[[#This Row],[Valores investidos até o momento]]</f>
        <v>21428.29</v>
      </c>
      <c r="N57" s="51" t="s">
        <v>21</v>
      </c>
    </row>
    <row r="58" spans="1:14" ht="18.75" outlineLevel="1" x14ac:dyDescent="0.3">
      <c r="A58" s="17" t="s">
        <v>77</v>
      </c>
      <c r="B58" s="3" t="s">
        <v>19</v>
      </c>
      <c r="C58" s="3" t="s">
        <v>30</v>
      </c>
      <c r="D58" s="25" t="s">
        <v>73</v>
      </c>
      <c r="E58" s="30">
        <v>45854</v>
      </c>
      <c r="F58" s="3">
        <v>267</v>
      </c>
      <c r="G58" s="22">
        <v>11538.31</v>
      </c>
      <c r="H58" s="36">
        <v>45863</v>
      </c>
      <c r="I58" s="3" t="s">
        <v>48</v>
      </c>
      <c r="J58" s="59"/>
      <c r="K58" s="22"/>
      <c r="L58" s="59"/>
      <c r="M58" s="4"/>
      <c r="N58" s="18" t="s">
        <v>342</v>
      </c>
    </row>
    <row r="59" spans="1:14" ht="18.75" outlineLevel="1" x14ac:dyDescent="0.3">
      <c r="A59" s="17" t="s">
        <v>81</v>
      </c>
      <c r="B59" s="3" t="s">
        <v>19</v>
      </c>
      <c r="C59" s="3" t="s">
        <v>30</v>
      </c>
      <c r="D59" s="25" t="s">
        <v>73</v>
      </c>
      <c r="E59" s="30"/>
      <c r="F59" s="3"/>
      <c r="G59" s="22"/>
      <c r="H59" s="36"/>
      <c r="I59" s="3"/>
      <c r="J59" s="59"/>
      <c r="K59" s="22"/>
      <c r="L59" s="59"/>
      <c r="M59" s="4"/>
      <c r="N59" s="51"/>
    </row>
    <row r="60" spans="1:14" ht="18.75" x14ac:dyDescent="0.3">
      <c r="A60" s="45">
        <v>11</v>
      </c>
      <c r="B60" s="46" t="s">
        <v>52</v>
      </c>
      <c r="C60" s="46" t="s">
        <v>31</v>
      </c>
      <c r="D60" s="46" t="s">
        <v>53</v>
      </c>
      <c r="E60" s="48"/>
      <c r="F60" s="46"/>
      <c r="G60" s="49">
        <v>2800</v>
      </c>
      <c r="H60" s="50"/>
      <c r="I60" s="46"/>
      <c r="J60" s="49">
        <v>2800</v>
      </c>
      <c r="K60" s="49">
        <v>2800</v>
      </c>
      <c r="L60" s="67">
        <f>+Tabela2[[#This Row],[Valor NF]]</f>
        <v>2800</v>
      </c>
      <c r="M60" s="4">
        <f>+Tabela2[[#This Row],[Valores contratados]]-Tabela2[[#This Row],[Valores investidos até o momento]]</f>
        <v>0</v>
      </c>
      <c r="N60" s="51" t="s">
        <v>9</v>
      </c>
    </row>
    <row r="61" spans="1:14" ht="18.75" hidden="1" outlineLevel="1" x14ac:dyDescent="0.3">
      <c r="A61" s="17" t="s">
        <v>78</v>
      </c>
      <c r="B61" s="3" t="s">
        <v>52</v>
      </c>
      <c r="C61" s="3" t="s">
        <v>31</v>
      </c>
      <c r="D61" s="3" t="s">
        <v>53</v>
      </c>
      <c r="E61" s="30">
        <v>45995</v>
      </c>
      <c r="F61" s="3">
        <v>459</v>
      </c>
      <c r="G61" s="22">
        <v>2800</v>
      </c>
      <c r="H61" s="36">
        <v>46001</v>
      </c>
      <c r="I61" s="3" t="s">
        <v>48</v>
      </c>
      <c r="J61" s="22"/>
      <c r="K61" s="22"/>
      <c r="L61" s="68"/>
      <c r="M61" s="59"/>
      <c r="N61" s="18"/>
    </row>
    <row r="62" spans="1:14" ht="18.75" collapsed="1" x14ac:dyDescent="0.3">
      <c r="A62" s="69">
        <v>12</v>
      </c>
      <c r="B62" s="70" t="s">
        <v>54</v>
      </c>
      <c r="C62" s="70" t="s">
        <v>30</v>
      </c>
      <c r="D62" s="70" t="s">
        <v>53</v>
      </c>
      <c r="E62" s="71"/>
      <c r="F62" s="70"/>
      <c r="G62" s="72">
        <f>SUM(G63:G64)</f>
        <v>83700</v>
      </c>
      <c r="H62" s="73"/>
      <c r="I62" s="70"/>
      <c r="J62" s="72">
        <v>88940</v>
      </c>
      <c r="K62" s="72">
        <v>83700</v>
      </c>
      <c r="L62" s="74">
        <f>+Tabela2[[#This Row],[Valor NF]]</f>
        <v>83700</v>
      </c>
      <c r="M62" s="74">
        <f>+Tabela2[[#This Row],[Valores contratados]]-Tabela2[[#This Row],[Valores investidos até o momento]]</f>
        <v>0</v>
      </c>
      <c r="N62" s="75" t="s">
        <v>9</v>
      </c>
    </row>
    <row r="63" spans="1:14" ht="18.75" hidden="1" outlineLevel="1" x14ac:dyDescent="0.3">
      <c r="A63" s="76" t="s">
        <v>79</v>
      </c>
      <c r="B63" s="77" t="s">
        <v>54</v>
      </c>
      <c r="C63" s="77" t="s">
        <v>30</v>
      </c>
      <c r="D63" s="77" t="s">
        <v>53</v>
      </c>
      <c r="E63" s="78">
        <v>46001</v>
      </c>
      <c r="F63" s="77">
        <v>462</v>
      </c>
      <c r="G63" s="79">
        <v>41850</v>
      </c>
      <c r="H63" s="80">
        <v>46003</v>
      </c>
      <c r="I63" s="77" t="s">
        <v>48</v>
      </c>
      <c r="J63" s="79"/>
      <c r="K63" s="79"/>
      <c r="L63" s="79"/>
      <c r="M63" s="79"/>
      <c r="N63" s="81" t="s">
        <v>61</v>
      </c>
    </row>
    <row r="64" spans="1:14" ht="18.75" hidden="1" outlineLevel="1" x14ac:dyDescent="0.3">
      <c r="A64" s="76" t="s">
        <v>80</v>
      </c>
      <c r="B64" s="77" t="s">
        <v>54</v>
      </c>
      <c r="C64" s="77" t="s">
        <v>30</v>
      </c>
      <c r="D64" s="77" t="s">
        <v>53</v>
      </c>
      <c r="E64" s="78">
        <v>46022</v>
      </c>
      <c r="F64" s="77">
        <v>463</v>
      </c>
      <c r="G64" s="79">
        <v>41850</v>
      </c>
      <c r="H64" s="80">
        <v>46028</v>
      </c>
      <c r="I64" s="77" t="s">
        <v>48</v>
      </c>
      <c r="J64" s="79"/>
      <c r="K64" s="79"/>
      <c r="L64" s="79"/>
      <c r="M64" s="79"/>
      <c r="N64" s="81" t="s">
        <v>99</v>
      </c>
    </row>
    <row r="65" spans="1:14" s="44" customFormat="1" ht="18.75" collapsed="1" x14ac:dyDescent="0.3">
      <c r="A65" s="69">
        <v>13</v>
      </c>
      <c r="B65" s="70" t="s">
        <v>59</v>
      </c>
      <c r="C65" s="70" t="s">
        <v>30</v>
      </c>
      <c r="D65" s="70" t="s">
        <v>60</v>
      </c>
      <c r="E65" s="71"/>
      <c r="F65" s="70"/>
      <c r="G65" s="72">
        <f>SUM(G66:G67)</f>
        <v>67000</v>
      </c>
      <c r="H65" s="73"/>
      <c r="I65" s="70"/>
      <c r="J65" s="72">
        <v>73700</v>
      </c>
      <c r="K65" s="72">
        <v>67000</v>
      </c>
      <c r="L65" s="74">
        <f>+Tabela2[[#This Row],[Valor NF]]</f>
        <v>67000</v>
      </c>
      <c r="M65" s="74">
        <f>+Tabela2[[#This Row],[Valores contratados]]-Tabela2[[#This Row],[Valores investidos até o momento]]</f>
        <v>0</v>
      </c>
      <c r="N65" s="75" t="s">
        <v>9</v>
      </c>
    </row>
    <row r="66" spans="1:14" ht="18.75" hidden="1" outlineLevel="1" x14ac:dyDescent="0.3">
      <c r="A66" s="15" t="s">
        <v>86</v>
      </c>
      <c r="B66" s="1" t="s">
        <v>59</v>
      </c>
      <c r="C66" s="1" t="s">
        <v>30</v>
      </c>
      <c r="D66" s="1" t="s">
        <v>60</v>
      </c>
      <c r="E66" s="29">
        <v>46006</v>
      </c>
      <c r="F66" s="1">
        <v>10</v>
      </c>
      <c r="G66" s="21">
        <v>33500</v>
      </c>
      <c r="H66" s="35">
        <v>46011</v>
      </c>
      <c r="I66" s="1" t="s">
        <v>48</v>
      </c>
      <c r="J66" s="21"/>
      <c r="K66" s="21"/>
      <c r="L66" s="21"/>
      <c r="M66" s="21"/>
      <c r="N66" s="16" t="s">
        <v>61</v>
      </c>
    </row>
    <row r="67" spans="1:14" ht="18.75" hidden="1" outlineLevel="1" x14ac:dyDescent="0.3">
      <c r="A67" s="15" t="s">
        <v>87</v>
      </c>
      <c r="B67" s="1" t="s">
        <v>59</v>
      </c>
      <c r="C67" s="1" t="s">
        <v>30</v>
      </c>
      <c r="D67" s="1" t="s">
        <v>60</v>
      </c>
      <c r="E67" s="29">
        <v>46024</v>
      </c>
      <c r="F67" s="1">
        <v>11</v>
      </c>
      <c r="G67" s="21">
        <v>33500</v>
      </c>
      <c r="H67" s="35">
        <v>46034</v>
      </c>
      <c r="I67" s="1" t="s">
        <v>48</v>
      </c>
      <c r="J67" s="21"/>
      <c r="K67" s="21"/>
      <c r="L67" s="21"/>
      <c r="M67" s="21"/>
      <c r="N67" s="16" t="s">
        <v>257</v>
      </c>
    </row>
    <row r="68" spans="1:14" ht="18.75" collapsed="1" x14ac:dyDescent="0.3">
      <c r="A68" s="45">
        <v>14</v>
      </c>
      <c r="B68" s="46" t="s">
        <v>55</v>
      </c>
      <c r="C68" s="46" t="s">
        <v>31</v>
      </c>
      <c r="D68" s="46" t="s">
        <v>46</v>
      </c>
      <c r="E68" s="48"/>
      <c r="F68" s="46"/>
      <c r="G68" s="49">
        <v>3318</v>
      </c>
      <c r="H68" s="50"/>
      <c r="I68" s="46"/>
      <c r="J68" s="4">
        <v>3318</v>
      </c>
      <c r="K68" s="49">
        <v>3318</v>
      </c>
      <c r="L68" s="4">
        <v>3318</v>
      </c>
      <c r="M68" s="4">
        <v>0</v>
      </c>
      <c r="N68" s="51" t="s">
        <v>9</v>
      </c>
    </row>
    <row r="69" spans="1:14" ht="18.75" hidden="1" outlineLevel="1" x14ac:dyDescent="0.3">
      <c r="A69" s="17" t="s">
        <v>133</v>
      </c>
      <c r="B69" s="3" t="s">
        <v>55</v>
      </c>
      <c r="C69" s="3" t="s">
        <v>31</v>
      </c>
      <c r="D69" s="3" t="s">
        <v>46</v>
      </c>
      <c r="E69" s="30">
        <v>46002</v>
      </c>
      <c r="F69" s="3">
        <v>11</v>
      </c>
      <c r="G69" s="22">
        <v>3318</v>
      </c>
      <c r="H69" s="36">
        <v>46010</v>
      </c>
      <c r="I69" s="3" t="s">
        <v>48</v>
      </c>
      <c r="J69" s="59"/>
      <c r="K69" s="22"/>
      <c r="L69" s="59"/>
      <c r="M69" s="59"/>
      <c r="N69" s="18"/>
    </row>
    <row r="70" spans="1:14" ht="18.75" collapsed="1" x14ac:dyDescent="0.3">
      <c r="A70" s="45">
        <v>15</v>
      </c>
      <c r="B70" s="46" t="s">
        <v>22</v>
      </c>
      <c r="C70" s="46" t="s">
        <v>31</v>
      </c>
      <c r="D70" s="46" t="s">
        <v>71</v>
      </c>
      <c r="E70" s="48"/>
      <c r="F70" s="46"/>
      <c r="G70" s="60">
        <f>SUM(G71:G74)</f>
        <v>26250</v>
      </c>
      <c r="H70" s="50"/>
      <c r="I70" s="46"/>
      <c r="J70" s="4">
        <v>26250</v>
      </c>
      <c r="K70" s="49">
        <v>26250</v>
      </c>
      <c r="L70" s="4">
        <f>Tabela2[[#This Row],[Valor NF]]</f>
        <v>26250</v>
      </c>
      <c r="M70" s="4">
        <f>+J70-L70</f>
        <v>0</v>
      </c>
      <c r="N70" s="51" t="s">
        <v>9</v>
      </c>
    </row>
    <row r="71" spans="1:14" ht="18.75" hidden="1" outlineLevel="1" x14ac:dyDescent="0.3">
      <c r="A71" s="17" t="s">
        <v>134</v>
      </c>
      <c r="B71" s="3" t="s">
        <v>22</v>
      </c>
      <c r="C71" s="3" t="s">
        <v>31</v>
      </c>
      <c r="D71" s="3" t="s">
        <v>73</v>
      </c>
      <c r="E71" s="30">
        <v>45964</v>
      </c>
      <c r="F71" s="3">
        <v>290</v>
      </c>
      <c r="G71" s="22">
        <v>11250</v>
      </c>
      <c r="H71" s="36">
        <v>45971</v>
      </c>
      <c r="I71" s="3" t="s">
        <v>48</v>
      </c>
      <c r="J71" s="59"/>
      <c r="K71" s="22"/>
      <c r="L71" s="59"/>
      <c r="M71" s="59"/>
      <c r="N71" s="18"/>
    </row>
    <row r="72" spans="1:14" ht="18.75" hidden="1" outlineLevel="1" x14ac:dyDescent="0.3">
      <c r="A72" s="17" t="s">
        <v>135</v>
      </c>
      <c r="B72" s="3" t="s">
        <v>22</v>
      </c>
      <c r="C72" s="3" t="s">
        <v>31</v>
      </c>
      <c r="D72" s="3" t="s">
        <v>60</v>
      </c>
      <c r="E72" s="30">
        <v>45936</v>
      </c>
      <c r="F72" s="3">
        <v>44</v>
      </c>
      <c r="G72" s="22">
        <v>6000</v>
      </c>
      <c r="H72" s="36">
        <v>45942</v>
      </c>
      <c r="I72" s="3" t="s">
        <v>48</v>
      </c>
      <c r="J72" s="59"/>
      <c r="K72" s="22"/>
      <c r="L72" s="59"/>
      <c r="M72" s="59"/>
      <c r="N72" s="18"/>
    </row>
    <row r="73" spans="1:14" ht="18.75" hidden="1" outlineLevel="1" x14ac:dyDescent="0.3">
      <c r="A73" s="17" t="s">
        <v>136</v>
      </c>
      <c r="B73" s="3" t="s">
        <v>22</v>
      </c>
      <c r="C73" s="3" t="s">
        <v>31</v>
      </c>
      <c r="D73" s="3" t="s">
        <v>60</v>
      </c>
      <c r="E73" s="30">
        <v>45947</v>
      </c>
      <c r="F73" s="3">
        <v>45</v>
      </c>
      <c r="G73" s="22">
        <v>6000</v>
      </c>
      <c r="H73" s="36">
        <v>45953</v>
      </c>
      <c r="I73" s="3" t="s">
        <v>48</v>
      </c>
      <c r="J73" s="59"/>
      <c r="K73" s="22"/>
      <c r="L73" s="59"/>
      <c r="M73" s="59"/>
      <c r="N73" s="18"/>
    </row>
    <row r="74" spans="1:14" ht="18.75" hidden="1" outlineLevel="1" x14ac:dyDescent="0.3">
      <c r="A74" s="17" t="s">
        <v>137</v>
      </c>
      <c r="B74" s="3" t="s">
        <v>22</v>
      </c>
      <c r="C74" s="3" t="s">
        <v>31</v>
      </c>
      <c r="D74" s="3" t="s">
        <v>60</v>
      </c>
      <c r="E74" s="30">
        <v>45957</v>
      </c>
      <c r="F74" s="3">
        <v>48</v>
      </c>
      <c r="G74" s="22">
        <v>3000</v>
      </c>
      <c r="H74" s="36">
        <v>45964</v>
      </c>
      <c r="I74" s="3" t="s">
        <v>48</v>
      </c>
      <c r="J74" s="59"/>
      <c r="K74" s="22"/>
      <c r="L74" s="59"/>
      <c r="M74" s="59"/>
      <c r="N74" s="18"/>
    </row>
    <row r="75" spans="1:14" ht="18.75" collapsed="1" x14ac:dyDescent="0.3">
      <c r="A75" s="45">
        <v>16</v>
      </c>
      <c r="B75" s="46" t="s">
        <v>23</v>
      </c>
      <c r="C75" s="46" t="s">
        <v>31</v>
      </c>
      <c r="D75" s="47" t="s">
        <v>71</v>
      </c>
      <c r="E75" s="48"/>
      <c r="F75" s="46"/>
      <c r="G75" s="60">
        <f>SUM(G76:G78)</f>
        <v>10733.45</v>
      </c>
      <c r="H75" s="50"/>
      <c r="I75" s="46"/>
      <c r="J75" s="4">
        <v>10733.45</v>
      </c>
      <c r="K75" s="4">
        <v>10733.45</v>
      </c>
      <c r="L75" s="67">
        <f>+Tabela2[[#This Row],[Valor NF]]</f>
        <v>10733.45</v>
      </c>
      <c r="M75" s="4">
        <f>+J75-L75</f>
        <v>0</v>
      </c>
      <c r="N75" s="51" t="s">
        <v>9</v>
      </c>
    </row>
    <row r="76" spans="1:14" ht="18.75" hidden="1" outlineLevel="1" x14ac:dyDescent="0.3">
      <c r="A76" s="17" t="s">
        <v>138</v>
      </c>
      <c r="B76" s="3" t="s">
        <v>23</v>
      </c>
      <c r="C76" s="3" t="s">
        <v>31</v>
      </c>
      <c r="D76" s="25" t="s">
        <v>46</v>
      </c>
      <c r="E76" s="30">
        <v>45932</v>
      </c>
      <c r="F76" s="3">
        <v>28</v>
      </c>
      <c r="G76" s="22">
        <v>6685.05</v>
      </c>
      <c r="H76" s="36">
        <v>45940</v>
      </c>
      <c r="I76" s="3" t="s">
        <v>48</v>
      </c>
      <c r="J76" s="59"/>
      <c r="K76" s="22"/>
      <c r="L76" s="59"/>
      <c r="M76" s="59"/>
      <c r="N76" s="18"/>
    </row>
    <row r="77" spans="1:14" ht="18.75" hidden="1" outlineLevel="1" x14ac:dyDescent="0.3">
      <c r="A77" s="17" t="s">
        <v>140</v>
      </c>
      <c r="B77" s="3" t="s">
        <v>23</v>
      </c>
      <c r="C77" s="3" t="s">
        <v>31</v>
      </c>
      <c r="D77" s="25" t="s">
        <v>46</v>
      </c>
      <c r="E77" s="30">
        <v>45945</v>
      </c>
      <c r="F77" s="3">
        <v>34</v>
      </c>
      <c r="G77" s="22">
        <v>2098.4</v>
      </c>
      <c r="H77" s="36">
        <v>45952</v>
      </c>
      <c r="I77" s="3" t="s">
        <v>48</v>
      </c>
      <c r="J77" s="59"/>
      <c r="K77" s="22"/>
      <c r="L77" s="59"/>
      <c r="M77" s="59"/>
      <c r="N77" s="18"/>
    </row>
    <row r="78" spans="1:14" ht="18.75" hidden="1" outlineLevel="1" x14ac:dyDescent="0.3">
      <c r="A78" s="17" t="s">
        <v>141</v>
      </c>
      <c r="B78" s="3" t="s">
        <v>23</v>
      </c>
      <c r="C78" s="3" t="s">
        <v>31</v>
      </c>
      <c r="D78" s="25" t="s">
        <v>88</v>
      </c>
      <c r="E78" s="30">
        <v>45937</v>
      </c>
      <c r="F78" s="3">
        <v>49</v>
      </c>
      <c r="G78" s="22">
        <v>1950</v>
      </c>
      <c r="H78" s="36">
        <v>45942</v>
      </c>
      <c r="I78" s="3" t="s">
        <v>48</v>
      </c>
      <c r="J78" s="59"/>
      <c r="K78" s="22"/>
      <c r="L78" s="59"/>
      <c r="M78" s="59"/>
      <c r="N78" s="18"/>
    </row>
    <row r="79" spans="1:14" ht="18.75" collapsed="1" x14ac:dyDescent="0.3">
      <c r="A79" s="45">
        <v>17</v>
      </c>
      <c r="B79" s="46" t="s">
        <v>24</v>
      </c>
      <c r="C79" s="46" t="s">
        <v>32</v>
      </c>
      <c r="D79" s="47" t="s">
        <v>46</v>
      </c>
      <c r="E79" s="48"/>
      <c r="F79" s="46"/>
      <c r="G79" s="60">
        <f>SUM(G80:G83)</f>
        <v>40930</v>
      </c>
      <c r="H79" s="50"/>
      <c r="I79" s="46"/>
      <c r="J79" s="4">
        <v>40930</v>
      </c>
      <c r="K79" s="49">
        <v>40930</v>
      </c>
      <c r="L79" s="67">
        <f>+Tabela2[[#This Row],[Valor NF]]</f>
        <v>40930</v>
      </c>
      <c r="M79" s="4">
        <f>+J79-L79</f>
        <v>0</v>
      </c>
      <c r="N79" s="51" t="s">
        <v>9</v>
      </c>
    </row>
    <row r="80" spans="1:14" ht="18.75" hidden="1" outlineLevel="1" x14ac:dyDescent="0.3">
      <c r="A80" s="17" t="s">
        <v>142</v>
      </c>
      <c r="B80" s="3" t="s">
        <v>24</v>
      </c>
      <c r="C80" s="3" t="s">
        <v>32</v>
      </c>
      <c r="D80" s="25" t="s">
        <v>46</v>
      </c>
      <c r="E80" s="30">
        <v>45932</v>
      </c>
      <c r="F80" s="3">
        <v>30</v>
      </c>
      <c r="G80" s="22">
        <v>9860</v>
      </c>
      <c r="H80" s="36">
        <v>45940</v>
      </c>
      <c r="I80" s="3" t="s">
        <v>48</v>
      </c>
      <c r="J80" s="59"/>
      <c r="K80" s="22"/>
      <c r="L80" s="59"/>
      <c r="M80" s="59"/>
      <c r="N80" s="18"/>
    </row>
    <row r="81" spans="1:14" ht="18.75" hidden="1" outlineLevel="1" x14ac:dyDescent="0.3">
      <c r="A81" s="17" t="s">
        <v>143</v>
      </c>
      <c r="B81" s="3" t="s">
        <v>24</v>
      </c>
      <c r="C81" s="3" t="s">
        <v>32</v>
      </c>
      <c r="D81" s="25" t="s">
        <v>46</v>
      </c>
      <c r="E81" s="30">
        <v>45939</v>
      </c>
      <c r="F81" s="3">
        <v>31</v>
      </c>
      <c r="G81" s="22">
        <v>16820</v>
      </c>
      <c r="H81" s="36">
        <v>45945</v>
      </c>
      <c r="I81" s="3" t="s">
        <v>48</v>
      </c>
      <c r="J81" s="59"/>
      <c r="K81" s="22"/>
      <c r="L81" s="59"/>
      <c r="M81" s="59"/>
      <c r="N81" s="18"/>
    </row>
    <row r="82" spans="1:14" ht="18.75" hidden="1" outlineLevel="1" x14ac:dyDescent="0.3">
      <c r="A82" s="17" t="s">
        <v>144</v>
      </c>
      <c r="B82" s="3" t="s">
        <v>24</v>
      </c>
      <c r="C82" s="3" t="s">
        <v>32</v>
      </c>
      <c r="D82" s="25" t="s">
        <v>46</v>
      </c>
      <c r="E82" s="30">
        <v>45947</v>
      </c>
      <c r="F82" s="3">
        <v>35</v>
      </c>
      <c r="G82" s="22">
        <v>13200</v>
      </c>
      <c r="H82" s="36">
        <v>45955</v>
      </c>
      <c r="I82" s="3" t="s">
        <v>48</v>
      </c>
      <c r="J82" s="59"/>
      <c r="K82" s="22"/>
      <c r="L82" s="59"/>
      <c r="M82" s="59"/>
      <c r="N82" s="18"/>
    </row>
    <row r="83" spans="1:14" ht="18.75" hidden="1" outlineLevel="1" x14ac:dyDescent="0.3">
      <c r="A83" s="17" t="s">
        <v>106</v>
      </c>
      <c r="B83" s="3" t="s">
        <v>24</v>
      </c>
      <c r="C83" s="3" t="s">
        <v>32</v>
      </c>
      <c r="D83" s="25" t="s">
        <v>46</v>
      </c>
      <c r="E83" s="30">
        <v>45947</v>
      </c>
      <c r="F83" s="3">
        <v>36</v>
      </c>
      <c r="G83" s="22">
        <v>1050</v>
      </c>
      <c r="H83" s="36">
        <v>45955</v>
      </c>
      <c r="I83" s="3" t="s">
        <v>48</v>
      </c>
      <c r="J83" s="59"/>
      <c r="K83" s="22"/>
      <c r="L83" s="59"/>
      <c r="M83" s="59"/>
      <c r="N83" s="18"/>
    </row>
    <row r="84" spans="1:14" ht="18.75" collapsed="1" x14ac:dyDescent="0.3">
      <c r="A84" s="45">
        <v>18</v>
      </c>
      <c r="B84" s="46" t="s">
        <v>25</v>
      </c>
      <c r="C84" s="46" t="s">
        <v>31</v>
      </c>
      <c r="D84" s="47" t="s">
        <v>46</v>
      </c>
      <c r="E84" s="48"/>
      <c r="F84" s="46"/>
      <c r="G84" s="60">
        <f>SUM(G85:G86)</f>
        <v>7282.61</v>
      </c>
      <c r="H84" s="50"/>
      <c r="I84" s="46"/>
      <c r="J84" s="4">
        <v>7282.61</v>
      </c>
      <c r="K84" s="4">
        <v>7282.61</v>
      </c>
      <c r="L84" s="67">
        <f>+Tabela2[[#This Row],[Valor NF]]</f>
        <v>7282.61</v>
      </c>
      <c r="M84" s="4">
        <f>+J84-L84</f>
        <v>0</v>
      </c>
      <c r="N84" s="51" t="s">
        <v>9</v>
      </c>
    </row>
    <row r="85" spans="1:14" ht="18.75" hidden="1" outlineLevel="1" x14ac:dyDescent="0.3">
      <c r="A85" s="17" t="s">
        <v>145</v>
      </c>
      <c r="B85" s="3" t="s">
        <v>25</v>
      </c>
      <c r="C85" s="3" t="s">
        <v>31</v>
      </c>
      <c r="D85" s="25" t="s">
        <v>47</v>
      </c>
      <c r="E85" s="30">
        <v>45980</v>
      </c>
      <c r="F85" s="3">
        <v>29</v>
      </c>
      <c r="G85" s="22">
        <v>575</v>
      </c>
      <c r="H85" s="36">
        <v>45986</v>
      </c>
      <c r="I85" s="3" t="s">
        <v>48</v>
      </c>
      <c r="J85" s="59"/>
      <c r="K85" s="3"/>
      <c r="L85" s="59"/>
      <c r="M85" s="59"/>
      <c r="N85" s="18"/>
    </row>
    <row r="86" spans="1:14" ht="18.75" hidden="1" outlineLevel="1" x14ac:dyDescent="0.3">
      <c r="A86" s="17" t="s">
        <v>146</v>
      </c>
      <c r="B86" s="3" t="s">
        <v>25</v>
      </c>
      <c r="C86" s="3" t="s">
        <v>31</v>
      </c>
      <c r="D86" s="25" t="s">
        <v>46</v>
      </c>
      <c r="E86" s="30">
        <v>45980</v>
      </c>
      <c r="F86" s="3">
        <v>6</v>
      </c>
      <c r="G86" s="22">
        <v>6707.61</v>
      </c>
      <c r="H86" s="36">
        <v>45987</v>
      </c>
      <c r="I86" s="3" t="s">
        <v>48</v>
      </c>
      <c r="J86" s="59"/>
      <c r="K86" s="3"/>
      <c r="L86" s="59"/>
      <c r="M86" s="59"/>
      <c r="N86" s="18"/>
    </row>
    <row r="87" spans="1:14" s="44" customFormat="1" ht="18.75" collapsed="1" x14ac:dyDescent="0.3">
      <c r="A87" s="45">
        <v>19</v>
      </c>
      <c r="B87" s="46" t="s">
        <v>97</v>
      </c>
      <c r="C87" s="46" t="s">
        <v>31</v>
      </c>
      <c r="D87" s="47" t="s">
        <v>46</v>
      </c>
      <c r="E87" s="48"/>
      <c r="F87" s="46"/>
      <c r="G87" s="60">
        <f>SUM(G88:G89)</f>
        <v>1830</v>
      </c>
      <c r="H87" s="50"/>
      <c r="I87" s="46"/>
      <c r="J87" s="4">
        <v>1830</v>
      </c>
      <c r="K87" s="4">
        <v>1830</v>
      </c>
      <c r="L87" s="67">
        <f>+Tabela2[[#This Row],[Valor NF]]</f>
        <v>1830</v>
      </c>
      <c r="M87" s="4">
        <f>+J87-L87</f>
        <v>0</v>
      </c>
      <c r="N87" s="51" t="s">
        <v>9</v>
      </c>
    </row>
    <row r="88" spans="1:14" ht="18.75" hidden="1" outlineLevel="1" x14ac:dyDescent="0.3">
      <c r="A88" s="17" t="s">
        <v>139</v>
      </c>
      <c r="B88" s="3" t="s">
        <v>97</v>
      </c>
      <c r="C88" s="3" t="s">
        <v>31</v>
      </c>
      <c r="D88" s="25" t="s">
        <v>46</v>
      </c>
      <c r="E88" s="30">
        <v>45932</v>
      </c>
      <c r="F88" s="3">
        <v>29</v>
      </c>
      <c r="G88" s="22">
        <v>1000</v>
      </c>
      <c r="H88" s="36">
        <v>45940</v>
      </c>
      <c r="I88" s="3" t="s">
        <v>48</v>
      </c>
      <c r="J88" s="59"/>
      <c r="K88" s="3"/>
      <c r="L88" s="59"/>
      <c r="M88" s="59"/>
      <c r="N88" s="18"/>
    </row>
    <row r="89" spans="1:14" ht="18.75" hidden="1" outlineLevel="1" x14ac:dyDescent="0.3">
      <c r="A89" s="17" t="s">
        <v>147</v>
      </c>
      <c r="B89" s="3" t="s">
        <v>97</v>
      </c>
      <c r="C89" s="3" t="s">
        <v>31</v>
      </c>
      <c r="D89" s="25" t="s">
        <v>46</v>
      </c>
      <c r="E89" s="30">
        <v>45945</v>
      </c>
      <c r="F89" s="3">
        <v>32</v>
      </c>
      <c r="G89" s="22">
        <v>830</v>
      </c>
      <c r="H89" s="36">
        <v>45950</v>
      </c>
      <c r="I89" s="3" t="s">
        <v>48</v>
      </c>
      <c r="J89" s="59"/>
      <c r="K89" s="3"/>
      <c r="L89" s="59"/>
      <c r="M89" s="59"/>
      <c r="N89" s="18"/>
    </row>
    <row r="90" spans="1:14" s="44" customFormat="1" ht="18.75" collapsed="1" x14ac:dyDescent="0.3">
      <c r="A90" s="45">
        <v>20</v>
      </c>
      <c r="B90" s="46" t="s">
        <v>98</v>
      </c>
      <c r="C90" s="46" t="s">
        <v>31</v>
      </c>
      <c r="D90" s="47" t="s">
        <v>73</v>
      </c>
      <c r="E90" s="48"/>
      <c r="F90" s="46"/>
      <c r="G90" s="60">
        <f>SUM(G91)</f>
        <v>14875</v>
      </c>
      <c r="H90" s="50"/>
      <c r="I90" s="46"/>
      <c r="J90" s="4">
        <v>14875</v>
      </c>
      <c r="K90" s="4">
        <v>14875</v>
      </c>
      <c r="L90" s="67">
        <f>+Tabela2[[#This Row],[Valor NF]]</f>
        <v>14875</v>
      </c>
      <c r="M90" s="4">
        <f>+J90-L90</f>
        <v>0</v>
      </c>
      <c r="N90" s="51" t="s">
        <v>9</v>
      </c>
    </row>
    <row r="91" spans="1:14" ht="18.75" hidden="1" outlineLevel="1" x14ac:dyDescent="0.3">
      <c r="A91" s="17" t="s">
        <v>148</v>
      </c>
      <c r="B91" s="3" t="s">
        <v>98</v>
      </c>
      <c r="C91" s="3" t="s">
        <v>31</v>
      </c>
      <c r="D91" s="25" t="s">
        <v>73</v>
      </c>
      <c r="E91" s="30">
        <v>45707</v>
      </c>
      <c r="F91" s="3">
        <v>244</v>
      </c>
      <c r="G91" s="22">
        <v>14875</v>
      </c>
      <c r="H91" s="36">
        <v>45713</v>
      </c>
      <c r="I91" s="3" t="s">
        <v>48</v>
      </c>
      <c r="J91" s="59"/>
      <c r="K91" s="3"/>
      <c r="L91" s="59"/>
      <c r="M91" s="59"/>
      <c r="N91" s="18"/>
    </row>
    <row r="92" spans="1:14" ht="18.75" collapsed="1" x14ac:dyDescent="0.3">
      <c r="A92" s="45">
        <v>21</v>
      </c>
      <c r="B92" s="46" t="s">
        <v>190</v>
      </c>
      <c r="C92" s="46" t="s">
        <v>31</v>
      </c>
      <c r="D92" s="47" t="s">
        <v>88</v>
      </c>
      <c r="E92" s="48"/>
      <c r="F92" s="46"/>
      <c r="G92" s="60">
        <f>SUM(G93)</f>
        <v>12000</v>
      </c>
      <c r="H92" s="50"/>
      <c r="I92" s="46"/>
      <c r="J92" s="4">
        <v>12000</v>
      </c>
      <c r="K92" s="4">
        <v>12000</v>
      </c>
      <c r="L92" s="67">
        <f>+Tabela2[[#This Row],[Valor NF]]</f>
        <v>12000</v>
      </c>
      <c r="M92" s="4">
        <f>+J92-L92</f>
        <v>0</v>
      </c>
      <c r="N92" s="51" t="s">
        <v>9</v>
      </c>
    </row>
    <row r="93" spans="1:14" ht="18.75" hidden="1" outlineLevel="1" x14ac:dyDescent="0.3">
      <c r="A93" s="17" t="s">
        <v>149</v>
      </c>
      <c r="B93" s="3" t="s">
        <v>190</v>
      </c>
      <c r="C93" s="3" t="s">
        <v>31</v>
      </c>
      <c r="D93" s="25" t="s">
        <v>88</v>
      </c>
      <c r="E93" s="30">
        <v>45950</v>
      </c>
      <c r="F93" s="3">
        <v>51</v>
      </c>
      <c r="G93" s="22">
        <v>12000</v>
      </c>
      <c r="H93" s="36">
        <v>45955</v>
      </c>
      <c r="I93" s="3" t="s">
        <v>48</v>
      </c>
      <c r="J93" s="59"/>
      <c r="K93" s="3"/>
      <c r="L93" s="59"/>
      <c r="M93" s="59"/>
      <c r="N93" s="18"/>
    </row>
    <row r="94" spans="1:14" ht="18.75" collapsed="1" x14ac:dyDescent="0.3">
      <c r="A94" s="45">
        <v>22</v>
      </c>
      <c r="B94" s="46" t="s">
        <v>37</v>
      </c>
      <c r="C94" s="46" t="s">
        <v>31</v>
      </c>
      <c r="D94" s="47" t="s">
        <v>95</v>
      </c>
      <c r="E94" s="48"/>
      <c r="F94" s="46"/>
      <c r="G94" s="49">
        <v>5450</v>
      </c>
      <c r="H94" s="50"/>
      <c r="I94" s="46"/>
      <c r="J94" s="4">
        <v>5450</v>
      </c>
      <c r="K94" s="49">
        <v>5450</v>
      </c>
      <c r="L94" s="67">
        <f>+Tabela2[[#This Row],[Valor NF]]</f>
        <v>5450</v>
      </c>
      <c r="M94" s="4">
        <f>+J94-L94</f>
        <v>0</v>
      </c>
      <c r="N94" s="51" t="s">
        <v>9</v>
      </c>
    </row>
    <row r="95" spans="1:14" ht="18.75" hidden="1" outlineLevel="1" x14ac:dyDescent="0.3">
      <c r="A95" s="17" t="s">
        <v>150</v>
      </c>
      <c r="B95" s="3" t="s">
        <v>37</v>
      </c>
      <c r="C95" s="3" t="s">
        <v>31</v>
      </c>
      <c r="D95" s="25" t="s">
        <v>92</v>
      </c>
      <c r="E95" s="30">
        <v>45985</v>
      </c>
      <c r="F95" s="3">
        <v>240</v>
      </c>
      <c r="G95" s="22">
        <v>5450</v>
      </c>
      <c r="H95" s="36">
        <v>45991</v>
      </c>
      <c r="I95" s="3" t="s">
        <v>38</v>
      </c>
      <c r="J95" s="59"/>
      <c r="K95" s="22"/>
      <c r="L95" s="59"/>
      <c r="M95" s="59"/>
      <c r="N95" s="18"/>
    </row>
    <row r="96" spans="1:14" ht="18.75" collapsed="1" x14ac:dyDescent="0.3">
      <c r="A96" s="45">
        <v>23</v>
      </c>
      <c r="B96" s="46" t="s">
        <v>62</v>
      </c>
      <c r="C96" s="46" t="s">
        <v>31</v>
      </c>
      <c r="D96" s="47" t="s">
        <v>63</v>
      </c>
      <c r="E96" s="48"/>
      <c r="F96" s="46"/>
      <c r="G96" s="49">
        <v>1416.7</v>
      </c>
      <c r="H96" s="50"/>
      <c r="I96" s="46"/>
      <c r="J96" s="4">
        <v>1416.7</v>
      </c>
      <c r="K96" s="49">
        <v>1416.7</v>
      </c>
      <c r="L96" s="67">
        <f>+Tabela2[[#This Row],[Valor NF]]</f>
        <v>1416.7</v>
      </c>
      <c r="M96" s="4">
        <f>+J96-L96</f>
        <v>0</v>
      </c>
      <c r="N96" s="51" t="s">
        <v>9</v>
      </c>
    </row>
    <row r="97" spans="1:14" ht="18.75" hidden="1" outlineLevel="1" x14ac:dyDescent="0.3">
      <c r="A97" s="17" t="s">
        <v>151</v>
      </c>
      <c r="B97" s="3" t="s">
        <v>93</v>
      </c>
      <c r="C97" s="3" t="s">
        <v>31</v>
      </c>
      <c r="D97" s="25" t="s">
        <v>63</v>
      </c>
      <c r="E97" s="30">
        <v>46007</v>
      </c>
      <c r="F97" s="3">
        <v>351</v>
      </c>
      <c r="G97" s="22">
        <v>1416.7</v>
      </c>
      <c r="H97" s="36">
        <v>45672</v>
      </c>
      <c r="I97" s="3" t="s">
        <v>44</v>
      </c>
      <c r="J97" s="59"/>
      <c r="K97" s="22"/>
      <c r="L97" s="59"/>
      <c r="M97" s="59"/>
      <c r="N97" s="18"/>
    </row>
    <row r="98" spans="1:14" ht="18.75" collapsed="1" x14ac:dyDescent="0.3">
      <c r="A98" s="45">
        <v>24</v>
      </c>
      <c r="B98" s="46" t="s">
        <v>64</v>
      </c>
      <c r="C98" s="46" t="s">
        <v>32</v>
      </c>
      <c r="D98" s="47" t="s">
        <v>65</v>
      </c>
      <c r="E98" s="48"/>
      <c r="F98" s="46"/>
      <c r="G98" s="49">
        <v>2500</v>
      </c>
      <c r="H98" s="50"/>
      <c r="I98" s="46"/>
      <c r="J98" s="4">
        <v>2500</v>
      </c>
      <c r="K98" s="49">
        <v>2500</v>
      </c>
      <c r="L98" s="67">
        <f>+Tabela2[[#This Row],[Valor NF]]</f>
        <v>2500</v>
      </c>
      <c r="M98" s="4">
        <f>+J98-L98</f>
        <v>0</v>
      </c>
      <c r="N98" s="51" t="s">
        <v>9</v>
      </c>
    </row>
    <row r="99" spans="1:14" ht="18.75" hidden="1" outlineLevel="1" x14ac:dyDescent="0.3">
      <c r="A99" s="17" t="s">
        <v>152</v>
      </c>
      <c r="B99" s="3" t="s">
        <v>64</v>
      </c>
      <c r="C99" s="3" t="s">
        <v>32</v>
      </c>
      <c r="D99" s="25" t="s">
        <v>65</v>
      </c>
      <c r="E99" s="30">
        <v>46008</v>
      </c>
      <c r="F99" s="3">
        <v>164</v>
      </c>
      <c r="G99" s="22">
        <v>2500</v>
      </c>
      <c r="H99" s="36">
        <v>46020</v>
      </c>
      <c r="I99" s="3" t="s">
        <v>44</v>
      </c>
      <c r="J99" s="59"/>
      <c r="K99" s="22"/>
      <c r="L99" s="59"/>
      <c r="M99" s="59"/>
      <c r="N99" s="18"/>
    </row>
    <row r="100" spans="1:14" ht="18.75" collapsed="1" x14ac:dyDescent="0.3">
      <c r="A100" s="45">
        <v>25</v>
      </c>
      <c r="B100" s="46" t="s">
        <v>66</v>
      </c>
      <c r="C100" s="46" t="s">
        <v>171</v>
      </c>
      <c r="D100" s="47" t="s">
        <v>67</v>
      </c>
      <c r="E100" s="48"/>
      <c r="F100" s="46"/>
      <c r="G100" s="49">
        <v>410</v>
      </c>
      <c r="H100" s="50"/>
      <c r="I100" s="46"/>
      <c r="J100" s="4">
        <v>410</v>
      </c>
      <c r="K100" s="49">
        <v>410</v>
      </c>
      <c r="L100" s="67">
        <f>+Tabela2[[#This Row],[Valor NF]]</f>
        <v>410</v>
      </c>
      <c r="M100" s="4">
        <f>+J100-L100</f>
        <v>0</v>
      </c>
      <c r="N100" s="51" t="s">
        <v>9</v>
      </c>
    </row>
    <row r="101" spans="1:14" ht="18.75" hidden="1" outlineLevel="1" x14ac:dyDescent="0.3">
      <c r="A101" s="17" t="s">
        <v>153</v>
      </c>
      <c r="B101" s="3" t="s">
        <v>94</v>
      </c>
      <c r="C101" s="3" t="s">
        <v>171</v>
      </c>
      <c r="D101" s="25" t="s">
        <v>67</v>
      </c>
      <c r="E101" s="30">
        <v>46009</v>
      </c>
      <c r="F101" s="3">
        <v>5</v>
      </c>
      <c r="G101" s="22">
        <v>410</v>
      </c>
      <c r="H101" s="36">
        <v>46014</v>
      </c>
      <c r="I101" s="3" t="s">
        <v>48</v>
      </c>
      <c r="J101" s="59"/>
      <c r="K101" s="22"/>
      <c r="L101" s="59"/>
      <c r="M101" s="59"/>
      <c r="N101" s="18"/>
    </row>
    <row r="102" spans="1:14" s="44" customFormat="1" ht="18.75" collapsed="1" x14ac:dyDescent="0.3">
      <c r="A102" s="45">
        <v>26</v>
      </c>
      <c r="B102" s="46" t="s">
        <v>96</v>
      </c>
      <c r="C102" s="46" t="s">
        <v>31</v>
      </c>
      <c r="D102" s="47" t="s">
        <v>88</v>
      </c>
      <c r="E102" s="48"/>
      <c r="F102" s="46"/>
      <c r="G102" s="60">
        <f>SUM(G103)</f>
        <v>1070</v>
      </c>
      <c r="H102" s="50"/>
      <c r="I102" s="46"/>
      <c r="J102" s="4">
        <v>1070</v>
      </c>
      <c r="K102" s="4">
        <v>1070</v>
      </c>
      <c r="L102" s="67">
        <f>+Tabela2[[#This Row],[Valor NF]]</f>
        <v>1070</v>
      </c>
      <c r="M102" s="4">
        <f>+J102-L102</f>
        <v>0</v>
      </c>
      <c r="N102" s="51" t="s">
        <v>9</v>
      </c>
    </row>
    <row r="103" spans="1:14" ht="18.75" hidden="1" outlineLevel="1" x14ac:dyDescent="0.3">
      <c r="A103" s="17" t="s">
        <v>154</v>
      </c>
      <c r="B103" s="3" t="s">
        <v>96</v>
      </c>
      <c r="C103" s="3" t="s">
        <v>31</v>
      </c>
      <c r="D103" s="25" t="s">
        <v>88</v>
      </c>
      <c r="E103" s="30">
        <v>46014</v>
      </c>
      <c r="F103" s="3">
        <v>55</v>
      </c>
      <c r="G103" s="22">
        <v>1070</v>
      </c>
      <c r="H103" s="36">
        <v>46019</v>
      </c>
      <c r="I103" s="3" t="s">
        <v>48</v>
      </c>
      <c r="J103" s="59"/>
      <c r="K103" s="59"/>
      <c r="L103" s="68"/>
      <c r="M103" s="59"/>
      <c r="N103" s="18"/>
    </row>
    <row r="104" spans="1:14" ht="18.75" collapsed="1" x14ac:dyDescent="0.3">
      <c r="A104" s="19" t="s">
        <v>26</v>
      </c>
      <c r="B104" s="19"/>
      <c r="C104" s="19"/>
      <c r="D104" s="26"/>
      <c r="E104" s="31"/>
      <c r="F104" s="19"/>
      <c r="G104" s="23"/>
      <c r="H104" s="37"/>
      <c r="I104" s="19"/>
      <c r="J104" s="20">
        <f>SUM(J3:J103)</f>
        <v>1262554.75</v>
      </c>
      <c r="K104" s="20">
        <f>SUM(K3:K103)</f>
        <v>1169764</v>
      </c>
      <c r="L104" s="20">
        <f>SUM(L3:L103)</f>
        <v>1152809.5600000003</v>
      </c>
      <c r="M104" s="20">
        <f>SUM(M3:M103)</f>
        <v>16954.439999999995</v>
      </c>
      <c r="N104" s="18"/>
    </row>
    <row r="105" spans="1:14" ht="18.75" x14ac:dyDescent="0.3">
      <c r="A105" s="7"/>
      <c r="B105" s="8"/>
      <c r="C105" s="8"/>
      <c r="D105" s="11"/>
      <c r="E105" s="32"/>
      <c r="F105" s="8"/>
      <c r="G105" s="8"/>
      <c r="H105" s="32"/>
      <c r="I105" s="8"/>
      <c r="J105" s="9"/>
      <c r="K105" s="8"/>
      <c r="L105" s="9"/>
      <c r="M105" s="9"/>
      <c r="N105" s="10"/>
    </row>
    <row r="106" spans="1:14" ht="18.75" x14ac:dyDescent="0.3">
      <c r="A106" s="11"/>
      <c r="B106" s="11"/>
      <c r="C106" s="11"/>
      <c r="D106" s="11"/>
      <c r="E106" s="33"/>
      <c r="F106" s="11"/>
      <c r="G106" s="11"/>
      <c r="H106" s="33"/>
      <c r="I106" s="11"/>
      <c r="J106" s="12"/>
      <c r="K106" s="11"/>
      <c r="L106" s="11" t="s">
        <v>27</v>
      </c>
      <c r="M106" s="11"/>
      <c r="N106" s="10"/>
    </row>
    <row r="107" spans="1:14" ht="18.75" x14ac:dyDescent="0.3">
      <c r="J107" s="82"/>
      <c r="L107" s="11" t="s">
        <v>160</v>
      </c>
    </row>
  </sheetData>
  <phoneticPr fontId="7" type="noConversion"/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1FC2-572D-4C71-B0C1-ABAAF0FC662E}">
  <sheetPr>
    <tabColor theme="8"/>
  </sheetPr>
  <dimension ref="A1:N174"/>
  <sheetViews>
    <sheetView tabSelected="1" zoomScale="85" zoomScaleNormal="85" workbookViewId="0">
      <pane ySplit="2" topLeftCell="A160" activePane="bottomLeft" state="frozen"/>
      <selection pane="bottomLeft" activeCell="B167" sqref="B167"/>
    </sheetView>
  </sheetViews>
  <sheetFormatPr defaultRowHeight="15" outlineLevelRow="1" outlineLevelCol="1" x14ac:dyDescent="0.25"/>
  <cols>
    <col min="1" max="1" width="11.140625" bestFit="1" customWidth="1"/>
    <col min="2" max="2" width="52.42578125" bestFit="1" customWidth="1"/>
    <col min="3" max="3" width="17.5703125" customWidth="1"/>
    <col min="4" max="4" width="20" customWidth="1" outlineLevel="1"/>
    <col min="5" max="5" width="15.28515625" style="34" customWidth="1" outlineLevel="1"/>
    <col min="6" max="6" width="11.42578125" customWidth="1" outlineLevel="1"/>
    <col min="7" max="7" width="18.5703125" customWidth="1" outlineLevel="1"/>
    <col min="8" max="8" width="18.7109375" style="34" customWidth="1" outlineLevel="1"/>
    <col min="9" max="9" width="19.140625" customWidth="1" outlineLevel="1"/>
    <col min="10" max="10" width="21.42578125" customWidth="1"/>
    <col min="11" max="11" width="20.7109375" bestFit="1" customWidth="1"/>
    <col min="12" max="12" width="19.42578125" customWidth="1"/>
    <col min="13" max="13" width="22.28515625" bestFit="1" customWidth="1"/>
    <col min="14" max="14" width="38.7109375" customWidth="1" outlineLevel="1"/>
  </cols>
  <sheetData>
    <row r="1" spans="1:14" ht="21" customHeight="1" x14ac:dyDescent="0.25">
      <c r="A1" s="84" t="s">
        <v>28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spans="1:14" ht="56.25" x14ac:dyDescent="0.25">
      <c r="A2" s="13" t="s">
        <v>0</v>
      </c>
      <c r="B2" s="14" t="s">
        <v>1</v>
      </c>
      <c r="C2" s="14" t="s">
        <v>29</v>
      </c>
      <c r="D2" s="13" t="s">
        <v>39</v>
      </c>
      <c r="E2" s="28" t="s">
        <v>33</v>
      </c>
      <c r="F2" s="14" t="s">
        <v>34</v>
      </c>
      <c r="G2" s="14" t="s">
        <v>35</v>
      </c>
      <c r="H2" s="28" t="s">
        <v>45</v>
      </c>
      <c r="I2" s="14" t="s">
        <v>36</v>
      </c>
      <c r="J2" s="14" t="s">
        <v>2</v>
      </c>
      <c r="K2" s="14" t="s">
        <v>43</v>
      </c>
      <c r="L2" s="14" t="s">
        <v>3</v>
      </c>
      <c r="M2" s="14" t="s">
        <v>4</v>
      </c>
      <c r="N2" s="14" t="s">
        <v>82</v>
      </c>
    </row>
    <row r="3" spans="1:14" s="44" customFormat="1" ht="18.75" x14ac:dyDescent="0.3">
      <c r="A3" s="45">
        <v>1</v>
      </c>
      <c r="B3" s="46" t="s">
        <v>155</v>
      </c>
      <c r="C3" s="46" t="s">
        <v>31</v>
      </c>
      <c r="D3" s="47" t="s">
        <v>73</v>
      </c>
      <c r="E3" s="48"/>
      <c r="F3" s="46"/>
      <c r="G3" s="60">
        <f>SUM(G4)</f>
        <v>5900</v>
      </c>
      <c r="H3" s="50"/>
      <c r="I3" s="46"/>
      <c r="J3" s="49">
        <v>5900</v>
      </c>
      <c r="K3" s="49">
        <v>5900</v>
      </c>
      <c r="L3" s="4">
        <f>+Tabela23[[#This Row],[Valor NF]]</f>
        <v>5900</v>
      </c>
      <c r="M3" s="4">
        <f>+Tabela23[[#This Row],[Valores contratados]]-Tabela23[[#This Row],[Valores investidos até o momento]]</f>
        <v>0</v>
      </c>
      <c r="N3" s="51" t="s">
        <v>9</v>
      </c>
    </row>
    <row r="4" spans="1:14" ht="18.75" hidden="1" outlineLevel="1" x14ac:dyDescent="0.3">
      <c r="A4" s="17" t="s">
        <v>5</v>
      </c>
      <c r="B4" s="3" t="s">
        <v>101</v>
      </c>
      <c r="C4" s="3" t="s">
        <v>31</v>
      </c>
      <c r="D4" s="25" t="s">
        <v>73</v>
      </c>
      <c r="E4" s="30">
        <v>46029</v>
      </c>
      <c r="F4" s="3">
        <v>5</v>
      </c>
      <c r="G4" s="22">
        <v>5900</v>
      </c>
      <c r="H4" s="36">
        <v>46034</v>
      </c>
      <c r="I4" s="3" t="s">
        <v>48</v>
      </c>
      <c r="J4" s="4"/>
      <c r="K4" s="22"/>
      <c r="L4" s="4"/>
      <c r="M4" s="4"/>
      <c r="N4" s="18"/>
    </row>
    <row r="5" spans="1:14" s="44" customFormat="1" ht="18.75" collapsed="1" x14ac:dyDescent="0.3">
      <c r="A5" s="45">
        <v>2</v>
      </c>
      <c r="B5" s="46" t="s">
        <v>156</v>
      </c>
      <c r="C5" s="46" t="s">
        <v>31</v>
      </c>
      <c r="D5" s="47" t="s">
        <v>157</v>
      </c>
      <c r="E5" s="48"/>
      <c r="F5" s="46"/>
      <c r="G5" s="60">
        <f>SUM(G6)</f>
        <v>928.4</v>
      </c>
      <c r="H5" s="50"/>
      <c r="I5" s="46"/>
      <c r="J5" s="49">
        <v>928.4</v>
      </c>
      <c r="K5" s="49">
        <v>928.4</v>
      </c>
      <c r="L5" s="4">
        <f>+Tabela23[[#This Row],[Valor NF]]</f>
        <v>928.4</v>
      </c>
      <c r="M5" s="4">
        <f>+Tabela23[[#This Row],[Valores contratados]]-Tabela23[[#This Row],[Valores investidos até o momento]]</f>
        <v>0</v>
      </c>
      <c r="N5" s="51" t="s">
        <v>9</v>
      </c>
    </row>
    <row r="6" spans="1:14" ht="18.75" hidden="1" outlineLevel="1" x14ac:dyDescent="0.3">
      <c r="A6" s="17" t="s">
        <v>49</v>
      </c>
      <c r="B6" s="3" t="s">
        <v>156</v>
      </c>
      <c r="C6" s="3" t="s">
        <v>31</v>
      </c>
      <c r="D6" s="25" t="s">
        <v>157</v>
      </c>
      <c r="E6" s="30">
        <v>46021</v>
      </c>
      <c r="F6" s="3">
        <v>31324</v>
      </c>
      <c r="G6" s="22">
        <v>928.4</v>
      </c>
      <c r="H6" s="36">
        <v>46050</v>
      </c>
      <c r="I6" s="3" t="s">
        <v>44</v>
      </c>
      <c r="J6" s="4"/>
      <c r="K6" s="22"/>
      <c r="L6" s="4"/>
      <c r="M6" s="4"/>
      <c r="N6" s="18"/>
    </row>
    <row r="7" spans="1:14" s="44" customFormat="1" ht="18.75" collapsed="1" x14ac:dyDescent="0.3">
      <c r="A7" s="45">
        <v>3</v>
      </c>
      <c r="B7" s="46" t="s">
        <v>158</v>
      </c>
      <c r="C7" s="46" t="s">
        <v>31</v>
      </c>
      <c r="D7" s="47" t="s">
        <v>159</v>
      </c>
      <c r="E7" s="48"/>
      <c r="F7" s="46"/>
      <c r="G7" s="60">
        <f>SUM(G8)</f>
        <v>1150</v>
      </c>
      <c r="H7" s="50"/>
      <c r="I7" s="46"/>
      <c r="J7" s="4">
        <v>1150</v>
      </c>
      <c r="K7" s="49">
        <v>1150</v>
      </c>
      <c r="L7" s="4">
        <f>+Tabela23[[#This Row],[Valor NF]]</f>
        <v>1150</v>
      </c>
      <c r="M7" s="4">
        <f>+Tabela23[[#This Row],[Valores contratados]]-Tabela23[[#This Row],[Valores investidos até o momento]]</f>
        <v>0</v>
      </c>
      <c r="N7" s="51" t="s">
        <v>9</v>
      </c>
    </row>
    <row r="8" spans="1:14" ht="18.75" hidden="1" outlineLevel="1" x14ac:dyDescent="0.3">
      <c r="A8" s="17" t="s">
        <v>89</v>
      </c>
      <c r="B8" s="3" t="s">
        <v>158</v>
      </c>
      <c r="C8" s="3" t="s">
        <v>31</v>
      </c>
      <c r="D8" s="25" t="s">
        <v>159</v>
      </c>
      <c r="E8" s="30">
        <v>46034</v>
      </c>
      <c r="F8" s="3">
        <v>58</v>
      </c>
      <c r="G8" s="22">
        <v>1150</v>
      </c>
      <c r="H8" s="36">
        <v>46040</v>
      </c>
      <c r="I8" s="3" t="s">
        <v>48</v>
      </c>
      <c r="J8" s="4"/>
      <c r="K8" s="22"/>
      <c r="L8" s="4"/>
      <c r="M8" s="4"/>
      <c r="N8" s="83" t="s">
        <v>163</v>
      </c>
    </row>
    <row r="9" spans="1:14" s="44" customFormat="1" ht="18.75" collapsed="1" x14ac:dyDescent="0.3">
      <c r="A9" s="38">
        <v>4</v>
      </c>
      <c r="B9" s="39" t="s">
        <v>161</v>
      </c>
      <c r="C9" s="39" t="s">
        <v>30</v>
      </c>
      <c r="D9" s="40" t="s">
        <v>71</v>
      </c>
      <c r="E9" s="41"/>
      <c r="F9" s="39"/>
      <c r="G9" s="27">
        <f>SUM(G10:G30)</f>
        <v>435400.62000000005</v>
      </c>
      <c r="H9" s="42"/>
      <c r="I9" s="39"/>
      <c r="J9" s="2">
        <v>442513</v>
      </c>
      <c r="K9" s="27">
        <v>391604.13</v>
      </c>
      <c r="L9" s="2">
        <f>+Tabela23[[#This Row],[Valor NF]]</f>
        <v>435400.62000000005</v>
      </c>
      <c r="M9" s="2">
        <f>+Tabela23[[#This Row],[Valores aprovados / solicitados]]-Tabela23[[#This Row],[Valores investidos até o momento]]</f>
        <v>7112.3799999999464</v>
      </c>
      <c r="N9" s="43" t="s">
        <v>16</v>
      </c>
    </row>
    <row r="10" spans="1:14" ht="18.75" hidden="1" outlineLevel="1" x14ac:dyDescent="0.3">
      <c r="A10" s="15" t="s">
        <v>90</v>
      </c>
      <c r="B10" s="1" t="s">
        <v>161</v>
      </c>
      <c r="C10" s="1" t="s">
        <v>30</v>
      </c>
      <c r="D10" s="24" t="s">
        <v>47</v>
      </c>
      <c r="E10" s="29">
        <v>46038</v>
      </c>
      <c r="F10" s="1">
        <v>57</v>
      </c>
      <c r="G10" s="21">
        <v>3613.61</v>
      </c>
      <c r="H10" s="35">
        <v>46045</v>
      </c>
      <c r="I10" s="1" t="s">
        <v>48</v>
      </c>
      <c r="J10" s="2"/>
      <c r="K10" s="21"/>
      <c r="L10" s="2"/>
      <c r="M10" s="2"/>
      <c r="N10" s="16" t="s">
        <v>162</v>
      </c>
    </row>
    <row r="11" spans="1:14" ht="18.75" hidden="1" outlineLevel="1" x14ac:dyDescent="0.3">
      <c r="A11" s="15" t="s">
        <v>113</v>
      </c>
      <c r="B11" s="1" t="s">
        <v>161</v>
      </c>
      <c r="C11" s="1" t="s">
        <v>30</v>
      </c>
      <c r="D11" s="24" t="s">
        <v>46</v>
      </c>
      <c r="E11" s="29">
        <v>46038</v>
      </c>
      <c r="F11" s="1">
        <v>14</v>
      </c>
      <c r="G11" s="21">
        <v>6886.39</v>
      </c>
      <c r="H11" s="35">
        <v>46045</v>
      </c>
      <c r="I11" s="1" t="s">
        <v>48</v>
      </c>
      <c r="J11" s="2"/>
      <c r="K11" s="21"/>
      <c r="L11" s="2"/>
      <c r="M11" s="2"/>
      <c r="N11" s="16" t="s">
        <v>164</v>
      </c>
    </row>
    <row r="12" spans="1:14" ht="18.75" hidden="1" outlineLevel="1" x14ac:dyDescent="0.3">
      <c r="A12" s="15" t="s">
        <v>105</v>
      </c>
      <c r="B12" s="1" t="s">
        <v>161</v>
      </c>
      <c r="C12" s="1" t="s">
        <v>30</v>
      </c>
      <c r="D12" s="24" t="s">
        <v>159</v>
      </c>
      <c r="E12" s="29">
        <v>46043</v>
      </c>
      <c r="F12" s="1">
        <v>59</v>
      </c>
      <c r="G12" s="21">
        <v>2800</v>
      </c>
      <c r="H12" s="35">
        <v>46048</v>
      </c>
      <c r="I12" s="1" t="s">
        <v>48</v>
      </c>
      <c r="J12" s="2"/>
      <c r="K12" s="21"/>
      <c r="L12" s="2"/>
      <c r="M12" s="2"/>
      <c r="N12" s="16" t="s">
        <v>165</v>
      </c>
    </row>
    <row r="13" spans="1:14" ht="18.75" hidden="1" outlineLevel="1" x14ac:dyDescent="0.3">
      <c r="A13" s="15" t="s">
        <v>114</v>
      </c>
      <c r="B13" s="1" t="s">
        <v>161</v>
      </c>
      <c r="C13" s="1" t="s">
        <v>30</v>
      </c>
      <c r="D13" s="24" t="s">
        <v>47</v>
      </c>
      <c r="E13" s="29">
        <v>46055</v>
      </c>
      <c r="F13" s="1">
        <v>93</v>
      </c>
      <c r="G13" s="21">
        <v>9218.8700000000008</v>
      </c>
      <c r="H13" s="35">
        <v>46063</v>
      </c>
      <c r="I13" s="1" t="s">
        <v>48</v>
      </c>
      <c r="J13" s="2"/>
      <c r="K13" s="21"/>
      <c r="L13" s="2"/>
      <c r="M13" s="2"/>
      <c r="N13" s="16" t="s">
        <v>162</v>
      </c>
    </row>
    <row r="14" spans="1:14" ht="18.75" hidden="1" outlineLevel="1" x14ac:dyDescent="0.3">
      <c r="A14" s="15" t="s">
        <v>110</v>
      </c>
      <c r="B14" s="1" t="s">
        <v>161</v>
      </c>
      <c r="C14" s="1" t="s">
        <v>30</v>
      </c>
      <c r="D14" s="24" t="s">
        <v>46</v>
      </c>
      <c r="E14" s="29">
        <v>46055</v>
      </c>
      <c r="F14" s="1">
        <v>21</v>
      </c>
      <c r="G14" s="21">
        <v>22661.119999999999</v>
      </c>
      <c r="H14" s="35">
        <v>46032</v>
      </c>
      <c r="I14" s="1" t="s">
        <v>48</v>
      </c>
      <c r="J14" s="2"/>
      <c r="K14" s="21"/>
      <c r="L14" s="2"/>
      <c r="M14" s="2"/>
      <c r="N14" s="16" t="s">
        <v>164</v>
      </c>
    </row>
    <row r="15" spans="1:14" ht="18.75" hidden="1" outlineLevel="1" x14ac:dyDescent="0.3">
      <c r="A15" s="15" t="s">
        <v>115</v>
      </c>
      <c r="B15" s="1" t="s">
        <v>161</v>
      </c>
      <c r="C15" s="1" t="s">
        <v>30</v>
      </c>
      <c r="D15" s="24" t="s">
        <v>47</v>
      </c>
      <c r="E15" s="29">
        <v>46072</v>
      </c>
      <c r="F15" s="1">
        <v>116</v>
      </c>
      <c r="G15" s="21">
        <v>8383.27</v>
      </c>
      <c r="H15" s="35">
        <v>46078</v>
      </c>
      <c r="I15" s="1" t="s">
        <v>48</v>
      </c>
      <c r="J15" s="2"/>
      <c r="K15" s="21"/>
      <c r="L15" s="2"/>
      <c r="M15" s="2"/>
      <c r="N15" s="16" t="s">
        <v>162</v>
      </c>
    </row>
    <row r="16" spans="1:14" ht="18.75" hidden="1" outlineLevel="1" x14ac:dyDescent="0.3">
      <c r="A16" s="15" t="s">
        <v>109</v>
      </c>
      <c r="B16" s="1" t="s">
        <v>161</v>
      </c>
      <c r="C16" s="1" t="s">
        <v>30</v>
      </c>
      <c r="D16" s="24" t="s">
        <v>46</v>
      </c>
      <c r="E16" s="29">
        <v>46072</v>
      </c>
      <c r="F16" s="1">
        <v>23</v>
      </c>
      <c r="G16" s="21">
        <v>32828.04</v>
      </c>
      <c r="H16" s="35">
        <v>46078</v>
      </c>
      <c r="I16" s="1" t="s">
        <v>48</v>
      </c>
      <c r="J16" s="2"/>
      <c r="K16" s="21"/>
      <c r="L16" s="2"/>
      <c r="M16" s="2"/>
      <c r="N16" s="16" t="s">
        <v>164</v>
      </c>
    </row>
    <row r="17" spans="1:14" ht="18.75" hidden="1" outlineLevel="1" x14ac:dyDescent="0.3">
      <c r="A17" s="15" t="s">
        <v>116</v>
      </c>
      <c r="B17" s="1" t="s">
        <v>161</v>
      </c>
      <c r="C17" s="1" t="s">
        <v>30</v>
      </c>
      <c r="D17" s="24" t="s">
        <v>47</v>
      </c>
      <c r="E17" s="29">
        <v>46092</v>
      </c>
      <c r="F17" s="1">
        <v>119</v>
      </c>
      <c r="G17" s="21">
        <v>11100.3</v>
      </c>
      <c r="H17" s="35">
        <v>46097</v>
      </c>
      <c r="I17" s="1" t="s">
        <v>48</v>
      </c>
      <c r="J17" s="2"/>
      <c r="K17" s="21"/>
      <c r="L17" s="2"/>
      <c r="M17" s="2"/>
      <c r="N17" s="16" t="s">
        <v>162</v>
      </c>
    </row>
    <row r="18" spans="1:14" ht="18.75" hidden="1" outlineLevel="1" x14ac:dyDescent="0.3">
      <c r="A18" s="15" t="s">
        <v>117</v>
      </c>
      <c r="B18" s="1" t="s">
        <v>161</v>
      </c>
      <c r="C18" s="1" t="s">
        <v>30</v>
      </c>
      <c r="D18" s="24" t="s">
        <v>46</v>
      </c>
      <c r="E18" s="29">
        <v>46092</v>
      </c>
      <c r="F18" s="1">
        <v>25</v>
      </c>
      <c r="G18" s="21">
        <v>29810.2</v>
      </c>
      <c r="H18" s="35">
        <v>46097</v>
      </c>
      <c r="I18" s="1" t="s">
        <v>48</v>
      </c>
      <c r="J18" s="2"/>
      <c r="K18" s="21"/>
      <c r="L18" s="2"/>
      <c r="M18" s="2"/>
      <c r="N18" s="16" t="s">
        <v>164</v>
      </c>
    </row>
    <row r="19" spans="1:14" ht="18.75" hidden="1" outlineLevel="1" x14ac:dyDescent="0.3">
      <c r="A19" s="15" t="s">
        <v>118</v>
      </c>
      <c r="B19" s="1" t="s">
        <v>161</v>
      </c>
      <c r="C19" s="1" t="s">
        <v>30</v>
      </c>
      <c r="D19" s="24" t="s">
        <v>218</v>
      </c>
      <c r="E19" s="29">
        <v>46105</v>
      </c>
      <c r="F19" s="1">
        <v>14</v>
      </c>
      <c r="G19" s="21">
        <v>1000</v>
      </c>
      <c r="H19" s="35">
        <v>46111</v>
      </c>
      <c r="I19" s="1" t="s">
        <v>48</v>
      </c>
      <c r="J19" s="2"/>
      <c r="K19" s="21"/>
      <c r="L19" s="2"/>
      <c r="M19" s="2"/>
      <c r="N19" s="16" t="s">
        <v>219</v>
      </c>
    </row>
    <row r="20" spans="1:14" ht="18.75" hidden="1" outlineLevel="1" x14ac:dyDescent="0.3">
      <c r="A20" s="15" t="s">
        <v>119</v>
      </c>
      <c r="B20" s="1" t="s">
        <v>161</v>
      </c>
      <c r="C20" s="1" t="s">
        <v>30</v>
      </c>
      <c r="D20" s="24" t="s">
        <v>47</v>
      </c>
      <c r="E20" s="29">
        <v>46107</v>
      </c>
      <c r="F20" s="1">
        <v>120</v>
      </c>
      <c r="G20" s="21">
        <v>8060.54</v>
      </c>
      <c r="H20" s="35">
        <v>46112</v>
      </c>
      <c r="I20" s="1" t="s">
        <v>48</v>
      </c>
      <c r="J20" s="2"/>
      <c r="K20" s="21"/>
      <c r="L20" s="2"/>
      <c r="M20" s="2"/>
      <c r="N20" s="16" t="s">
        <v>162</v>
      </c>
    </row>
    <row r="21" spans="1:14" ht="18.75" hidden="1" outlineLevel="1" x14ac:dyDescent="0.3">
      <c r="A21" s="15" t="s">
        <v>120</v>
      </c>
      <c r="B21" s="1" t="s">
        <v>161</v>
      </c>
      <c r="C21" s="1" t="s">
        <v>30</v>
      </c>
      <c r="D21" s="24" t="s">
        <v>46</v>
      </c>
      <c r="E21" s="29">
        <v>46106</v>
      </c>
      <c r="F21" s="1">
        <v>28</v>
      </c>
      <c r="G21" s="21">
        <v>42299.66</v>
      </c>
      <c r="H21" s="35">
        <v>46112</v>
      </c>
      <c r="I21" s="1" t="s">
        <v>48</v>
      </c>
      <c r="J21" s="2"/>
      <c r="K21" s="21"/>
      <c r="L21" s="2"/>
      <c r="M21" s="2"/>
      <c r="N21" s="16" t="s">
        <v>164</v>
      </c>
    </row>
    <row r="22" spans="1:14" ht="18.75" hidden="1" outlineLevel="1" x14ac:dyDescent="0.3">
      <c r="A22" s="15" t="s">
        <v>121</v>
      </c>
      <c r="B22" s="1" t="s">
        <v>161</v>
      </c>
      <c r="C22" s="1" t="s">
        <v>30</v>
      </c>
      <c r="D22" s="24" t="s">
        <v>159</v>
      </c>
      <c r="E22" s="29">
        <v>46122</v>
      </c>
      <c r="F22" s="1">
        <v>66</v>
      </c>
      <c r="G22" s="21">
        <v>5500</v>
      </c>
      <c r="H22" s="35">
        <v>46127</v>
      </c>
      <c r="I22" s="1" t="s">
        <v>48</v>
      </c>
      <c r="J22" s="2"/>
      <c r="K22" s="21"/>
      <c r="L22" s="2"/>
      <c r="M22" s="2"/>
      <c r="N22" s="16" t="s">
        <v>228</v>
      </c>
    </row>
    <row r="23" spans="1:14" ht="18.75" hidden="1" outlineLevel="1" x14ac:dyDescent="0.3">
      <c r="A23" s="15" t="s">
        <v>122</v>
      </c>
      <c r="B23" s="1" t="s">
        <v>161</v>
      </c>
      <c r="C23" s="1" t="s">
        <v>30</v>
      </c>
      <c r="D23" s="24" t="s">
        <v>47</v>
      </c>
      <c r="E23" s="29">
        <v>46126</v>
      </c>
      <c r="F23" s="1">
        <v>141</v>
      </c>
      <c r="G23" s="21">
        <v>16340.15</v>
      </c>
      <c r="H23" s="35">
        <v>46132</v>
      </c>
      <c r="I23" s="1" t="s">
        <v>48</v>
      </c>
      <c r="J23" s="2"/>
      <c r="K23" s="21"/>
      <c r="L23" s="2"/>
      <c r="M23" s="2"/>
      <c r="N23" s="16" t="s">
        <v>162</v>
      </c>
    </row>
    <row r="24" spans="1:14" ht="18.75" hidden="1" outlineLevel="1" x14ac:dyDescent="0.3">
      <c r="A24" s="15" t="s">
        <v>123</v>
      </c>
      <c r="B24" s="1" t="s">
        <v>161</v>
      </c>
      <c r="C24" s="1" t="s">
        <v>30</v>
      </c>
      <c r="D24" s="24" t="s">
        <v>46</v>
      </c>
      <c r="E24" s="29">
        <v>46126</v>
      </c>
      <c r="F24" s="1">
        <v>31</v>
      </c>
      <c r="G24" s="21">
        <v>95279.45</v>
      </c>
      <c r="H24" s="35">
        <v>46132</v>
      </c>
      <c r="I24" s="1" t="s">
        <v>48</v>
      </c>
      <c r="J24" s="2"/>
      <c r="K24" s="21"/>
      <c r="L24" s="2"/>
      <c r="M24" s="2"/>
      <c r="N24" s="16" t="s">
        <v>164</v>
      </c>
    </row>
    <row r="25" spans="1:14" ht="18.75" hidden="1" outlineLevel="1" x14ac:dyDescent="0.3">
      <c r="A25" s="15" t="s">
        <v>124</v>
      </c>
      <c r="B25" s="1" t="s">
        <v>161</v>
      </c>
      <c r="C25" s="1" t="s">
        <v>30</v>
      </c>
      <c r="D25" s="24" t="s">
        <v>47</v>
      </c>
      <c r="E25" s="29">
        <v>46149</v>
      </c>
      <c r="F25" s="1">
        <v>157</v>
      </c>
      <c r="G25" s="21">
        <v>5244.32</v>
      </c>
      <c r="H25" s="35">
        <v>46157</v>
      </c>
      <c r="I25" s="1" t="s">
        <v>48</v>
      </c>
      <c r="J25" s="2"/>
      <c r="K25" s="21"/>
      <c r="L25" s="2"/>
      <c r="M25" s="2"/>
      <c r="N25" s="16" t="s">
        <v>162</v>
      </c>
    </row>
    <row r="26" spans="1:14" ht="18.75" hidden="1" outlineLevel="1" x14ac:dyDescent="0.3">
      <c r="A26" s="15" t="s">
        <v>234</v>
      </c>
      <c r="B26" s="1" t="s">
        <v>161</v>
      </c>
      <c r="C26" s="1" t="s">
        <v>30</v>
      </c>
      <c r="D26" s="24" t="s">
        <v>46</v>
      </c>
      <c r="E26" s="29">
        <v>46149</v>
      </c>
      <c r="F26" s="1">
        <v>33</v>
      </c>
      <c r="G26" s="21">
        <v>75461.399999999994</v>
      </c>
      <c r="H26" s="35">
        <v>46157</v>
      </c>
      <c r="I26" s="1" t="s">
        <v>48</v>
      </c>
      <c r="J26" s="2"/>
      <c r="K26" s="21"/>
      <c r="L26" s="2"/>
      <c r="M26" s="2"/>
      <c r="N26" s="16" t="s">
        <v>164</v>
      </c>
    </row>
    <row r="27" spans="1:14" ht="18.75" hidden="1" outlineLevel="1" x14ac:dyDescent="0.3">
      <c r="A27" s="15" t="s">
        <v>264</v>
      </c>
      <c r="B27" s="1" t="s">
        <v>161</v>
      </c>
      <c r="C27" s="1" t="s">
        <v>30</v>
      </c>
      <c r="D27" s="24" t="s">
        <v>47</v>
      </c>
      <c r="E27" s="29">
        <v>46181</v>
      </c>
      <c r="F27" s="1">
        <v>183</v>
      </c>
      <c r="G27" s="21">
        <v>3359.75</v>
      </c>
      <c r="H27" s="35">
        <v>46185</v>
      </c>
      <c r="I27" s="1" t="s">
        <v>48</v>
      </c>
      <c r="J27" s="2"/>
      <c r="K27" s="21"/>
      <c r="L27" s="2"/>
      <c r="M27" s="2"/>
      <c r="N27" s="16" t="s">
        <v>162</v>
      </c>
    </row>
    <row r="28" spans="1:14" ht="18.75" hidden="1" outlineLevel="1" x14ac:dyDescent="0.3">
      <c r="A28" s="15" t="s">
        <v>265</v>
      </c>
      <c r="B28" s="1" t="s">
        <v>161</v>
      </c>
      <c r="C28" s="1" t="s">
        <v>30</v>
      </c>
      <c r="D28" s="24" t="s">
        <v>46</v>
      </c>
      <c r="E28" s="29">
        <v>46181</v>
      </c>
      <c r="F28" s="1">
        <v>34</v>
      </c>
      <c r="G28" s="21">
        <v>31645.55</v>
      </c>
      <c r="H28" s="35">
        <v>46185</v>
      </c>
      <c r="I28" s="1" t="s">
        <v>48</v>
      </c>
      <c r="J28" s="2"/>
      <c r="K28" s="21"/>
      <c r="L28" s="2"/>
      <c r="M28" s="2"/>
      <c r="N28" s="16" t="s">
        <v>164</v>
      </c>
    </row>
    <row r="29" spans="1:14" ht="18.75" hidden="1" outlineLevel="1" x14ac:dyDescent="0.3">
      <c r="A29" s="15" t="s">
        <v>312</v>
      </c>
      <c r="B29" s="1" t="s">
        <v>161</v>
      </c>
      <c r="C29" s="1" t="s">
        <v>30</v>
      </c>
      <c r="D29" s="24" t="s">
        <v>46</v>
      </c>
      <c r="E29" s="29">
        <v>46199</v>
      </c>
      <c r="F29" s="1">
        <v>40</v>
      </c>
      <c r="G29" s="21">
        <v>23908</v>
      </c>
      <c r="H29" s="35">
        <v>46203</v>
      </c>
      <c r="I29" s="1" t="s">
        <v>48</v>
      </c>
      <c r="J29" s="2"/>
      <c r="K29" s="21"/>
      <c r="L29" s="2"/>
      <c r="M29" s="2"/>
      <c r="N29" s="16" t="s">
        <v>164</v>
      </c>
    </row>
    <row r="30" spans="1:14" ht="18.75" hidden="1" outlineLevel="1" x14ac:dyDescent="0.3">
      <c r="A30" s="15"/>
      <c r="B30" s="1"/>
      <c r="C30" s="1"/>
      <c r="D30" s="24"/>
      <c r="E30" s="29"/>
      <c r="F30" s="1"/>
      <c r="G30" s="21"/>
      <c r="H30" s="35"/>
      <c r="I30" s="1"/>
      <c r="J30" s="2"/>
      <c r="K30" s="21"/>
      <c r="L30" s="2"/>
      <c r="M30" s="2"/>
      <c r="N30" s="16"/>
    </row>
    <row r="31" spans="1:14" ht="18.75" hidden="1" outlineLevel="1" x14ac:dyDescent="0.3">
      <c r="A31" s="15"/>
      <c r="B31" s="1"/>
      <c r="C31" s="1"/>
      <c r="D31" s="24"/>
      <c r="E31" s="29"/>
      <c r="F31" s="1"/>
      <c r="G31" s="21"/>
      <c r="H31" s="35"/>
      <c r="I31" s="1"/>
      <c r="J31" s="2"/>
      <c r="K31" s="21"/>
      <c r="L31" s="2"/>
      <c r="M31" s="2"/>
      <c r="N31" s="16"/>
    </row>
    <row r="32" spans="1:14" ht="18.75" hidden="1" outlineLevel="1" x14ac:dyDescent="0.3">
      <c r="A32" s="15"/>
      <c r="B32" s="1"/>
      <c r="C32" s="1"/>
      <c r="D32" s="24"/>
      <c r="E32" s="29"/>
      <c r="F32" s="1"/>
      <c r="G32" s="21"/>
      <c r="H32" s="35"/>
      <c r="I32" s="1"/>
      <c r="J32" s="2"/>
      <c r="K32" s="21"/>
      <c r="L32" s="2"/>
      <c r="M32" s="2"/>
      <c r="N32" s="16"/>
    </row>
    <row r="33" spans="1:14" s="44" customFormat="1" ht="18.75" collapsed="1" x14ac:dyDescent="0.3">
      <c r="A33" s="45">
        <v>5</v>
      </c>
      <c r="B33" s="46" t="s">
        <v>166</v>
      </c>
      <c r="C33" s="46" t="s">
        <v>31</v>
      </c>
      <c r="D33" s="47" t="s">
        <v>72</v>
      </c>
      <c r="E33" s="48"/>
      <c r="F33" s="46"/>
      <c r="G33" s="60">
        <f>SUM(G34)</f>
        <v>380</v>
      </c>
      <c r="H33" s="50"/>
      <c r="I33" s="46"/>
      <c r="J33" s="4">
        <f>Tabela23[[#This Row],[Valor NF]]</f>
        <v>380</v>
      </c>
      <c r="K33" s="49">
        <f>Tabela23[[#This Row],[Valor NF]]</f>
        <v>380</v>
      </c>
      <c r="L33" s="4">
        <f>+Tabela23[[#This Row],[Valor NF]]</f>
        <v>380</v>
      </c>
      <c r="M33" s="4">
        <f>+Tabela23[[#This Row],[Valores contratados]]-Tabela23[[#This Row],[Valores investidos até o momento]]</f>
        <v>0</v>
      </c>
      <c r="N33" s="51" t="s">
        <v>9</v>
      </c>
    </row>
    <row r="34" spans="1:14" ht="18.75" hidden="1" outlineLevel="1" x14ac:dyDescent="0.3">
      <c r="A34" s="17" t="s">
        <v>83</v>
      </c>
      <c r="B34" s="3" t="s">
        <v>166</v>
      </c>
      <c r="C34" s="3" t="s">
        <v>31</v>
      </c>
      <c r="D34" s="25" t="s">
        <v>72</v>
      </c>
      <c r="E34" s="30">
        <v>46044</v>
      </c>
      <c r="F34" s="3">
        <v>64</v>
      </c>
      <c r="G34" s="22">
        <v>380</v>
      </c>
      <c r="H34" s="36">
        <v>46052</v>
      </c>
      <c r="I34" s="3" t="s">
        <v>48</v>
      </c>
      <c r="J34" s="59"/>
      <c r="K34" s="22"/>
      <c r="L34" s="59"/>
      <c r="M34" s="4"/>
      <c r="N34" s="18"/>
    </row>
    <row r="35" spans="1:14" s="44" customFormat="1" ht="18.75" collapsed="1" x14ac:dyDescent="0.3">
      <c r="A35" s="45">
        <v>6</v>
      </c>
      <c r="B35" s="46" t="s">
        <v>167</v>
      </c>
      <c r="C35" s="46" t="s">
        <v>32</v>
      </c>
      <c r="D35" s="47" t="s">
        <v>102</v>
      </c>
      <c r="E35" s="48"/>
      <c r="F35" s="46"/>
      <c r="G35" s="60">
        <f>SUM(G36)</f>
        <v>220</v>
      </c>
      <c r="H35" s="50"/>
      <c r="I35" s="46"/>
      <c r="J35" s="4">
        <f>Tabela23[[#This Row],[Valor NF]]</f>
        <v>220</v>
      </c>
      <c r="K35" s="49">
        <f>Tabela23[[#This Row],[Valor NF]]</f>
        <v>220</v>
      </c>
      <c r="L35" s="4">
        <f>+Tabela23[[#This Row],[Valor NF]]</f>
        <v>220</v>
      </c>
      <c r="M35" s="4">
        <f>+Tabela23[[#This Row],[Valores contratados]]-Tabela23[[#This Row],[Valores investidos até o momento]]</f>
        <v>0</v>
      </c>
      <c r="N35" s="51" t="s">
        <v>9</v>
      </c>
    </row>
    <row r="36" spans="1:14" ht="18.75" hidden="1" outlineLevel="1" x14ac:dyDescent="0.3">
      <c r="A36" s="17" t="s">
        <v>127</v>
      </c>
      <c r="B36" s="3" t="s">
        <v>167</v>
      </c>
      <c r="C36" s="3" t="s">
        <v>32</v>
      </c>
      <c r="D36" s="25" t="s">
        <v>102</v>
      </c>
      <c r="E36" s="30">
        <v>46045</v>
      </c>
      <c r="F36" s="3">
        <v>431</v>
      </c>
      <c r="G36" s="22">
        <v>220</v>
      </c>
      <c r="H36" s="36">
        <v>46052</v>
      </c>
      <c r="I36" s="3" t="s">
        <v>48</v>
      </c>
      <c r="J36" s="59"/>
      <c r="K36" s="22"/>
      <c r="L36" s="59"/>
      <c r="M36" s="4"/>
      <c r="N36" s="18"/>
    </row>
    <row r="37" spans="1:14" s="44" customFormat="1" ht="18.75" collapsed="1" x14ac:dyDescent="0.3">
      <c r="A37" s="45">
        <v>7</v>
      </c>
      <c r="B37" s="46" t="s">
        <v>168</v>
      </c>
      <c r="C37" s="46" t="s">
        <v>171</v>
      </c>
      <c r="D37" s="47" t="s">
        <v>169</v>
      </c>
      <c r="E37" s="48"/>
      <c r="F37" s="46"/>
      <c r="G37" s="60">
        <f>SUM(G38)</f>
        <v>3545.82</v>
      </c>
      <c r="H37" s="50"/>
      <c r="I37" s="46"/>
      <c r="J37" s="4">
        <f>Tabela23[[#This Row],[Valor NF]]</f>
        <v>3545.82</v>
      </c>
      <c r="K37" s="49">
        <f>Tabela23[[#This Row],[Valor NF]]</f>
        <v>3545.82</v>
      </c>
      <c r="L37" s="4">
        <f>+Tabela23[[#This Row],[Valor NF]]</f>
        <v>3545.82</v>
      </c>
      <c r="M37" s="4">
        <f>+Tabela23[[#This Row],[Valores contratados]]-Tabela23[[#This Row],[Valores investidos até o momento]]</f>
        <v>0</v>
      </c>
      <c r="N37" s="51" t="s">
        <v>9</v>
      </c>
    </row>
    <row r="38" spans="1:14" ht="18.75" hidden="1" outlineLevel="1" x14ac:dyDescent="0.3">
      <c r="A38" s="17" t="s">
        <v>76</v>
      </c>
      <c r="B38" s="3" t="s">
        <v>168</v>
      </c>
      <c r="C38" s="3" t="s">
        <v>171</v>
      </c>
      <c r="D38" s="25" t="s">
        <v>169</v>
      </c>
      <c r="E38" s="30">
        <v>46044</v>
      </c>
      <c r="F38" s="3">
        <v>8</v>
      </c>
      <c r="G38" s="22">
        <v>3545.82</v>
      </c>
      <c r="H38" s="36">
        <v>46051</v>
      </c>
      <c r="I38" s="3" t="s">
        <v>48</v>
      </c>
      <c r="J38" s="59"/>
      <c r="K38" s="22"/>
      <c r="L38" s="59"/>
      <c r="M38" s="4"/>
      <c r="N38" s="18"/>
    </row>
    <row r="39" spans="1:14" s="44" customFormat="1" ht="18.75" collapsed="1" x14ac:dyDescent="0.3">
      <c r="A39" s="45">
        <v>8</v>
      </c>
      <c r="B39" s="46" t="s">
        <v>170</v>
      </c>
      <c r="C39" s="46" t="s">
        <v>171</v>
      </c>
      <c r="D39" s="47" t="s">
        <v>172</v>
      </c>
      <c r="E39" s="48"/>
      <c r="F39" s="46"/>
      <c r="G39" s="60">
        <f>SUM(G40)</f>
        <v>5049.9799999999996</v>
      </c>
      <c r="H39" s="50"/>
      <c r="I39" s="46"/>
      <c r="J39" s="4">
        <f>Tabela23[[#This Row],[Valor NF]]</f>
        <v>5049.9799999999996</v>
      </c>
      <c r="K39" s="49">
        <f>Tabela23[[#This Row],[Valor NF]]</f>
        <v>5049.9799999999996</v>
      </c>
      <c r="L39" s="4">
        <f>+Tabela23[[#This Row],[Valor NF]]</f>
        <v>5049.9799999999996</v>
      </c>
      <c r="M39" s="4">
        <f>+Tabela23[[#This Row],[Valores contratados]]-Tabela23[[#This Row],[Valores investidos até o momento]]</f>
        <v>0</v>
      </c>
      <c r="N39" s="51" t="s">
        <v>9</v>
      </c>
    </row>
    <row r="40" spans="1:14" ht="18.75" hidden="1" outlineLevel="1" x14ac:dyDescent="0.3">
      <c r="A40" s="17" t="s">
        <v>91</v>
      </c>
      <c r="B40" s="3" t="s">
        <v>170</v>
      </c>
      <c r="C40" s="3" t="s">
        <v>171</v>
      </c>
      <c r="D40" s="25" t="s">
        <v>172</v>
      </c>
      <c r="E40" s="30">
        <v>46042</v>
      </c>
      <c r="F40" s="3">
        <v>21489</v>
      </c>
      <c r="G40" s="22">
        <v>5049.9799999999996</v>
      </c>
      <c r="H40" s="36">
        <v>46072</v>
      </c>
      <c r="I40" s="3" t="s">
        <v>44</v>
      </c>
      <c r="J40" s="4"/>
      <c r="K40" s="22"/>
      <c r="L40" s="4"/>
      <c r="M40" s="4"/>
      <c r="N40" s="18"/>
    </row>
    <row r="41" spans="1:14" s="44" customFormat="1" ht="18.75" collapsed="1" x14ac:dyDescent="0.3">
      <c r="A41" s="45">
        <v>9</v>
      </c>
      <c r="B41" s="46" t="s">
        <v>173</v>
      </c>
      <c r="C41" s="46" t="s">
        <v>171</v>
      </c>
      <c r="D41" s="47" t="s">
        <v>174</v>
      </c>
      <c r="E41" s="48"/>
      <c r="F41" s="46"/>
      <c r="G41" s="60">
        <f>SUM(G42:G43)</f>
        <v>3392.15</v>
      </c>
      <c r="H41" s="50"/>
      <c r="I41" s="46"/>
      <c r="J41" s="4">
        <f>Tabela23[[#This Row],[Valor NF]]</f>
        <v>3392.15</v>
      </c>
      <c r="K41" s="49">
        <f>Tabela23[[#This Row],[Valor NF]]</f>
        <v>3392.15</v>
      </c>
      <c r="L41" s="4">
        <f>+Tabela23[[#This Row],[Valor NF]]</f>
        <v>3392.15</v>
      </c>
      <c r="M41" s="4">
        <f>+Tabela23[[#This Row],[Valores contratados]]-Tabela23[[#This Row],[Valores investidos até o momento]]</f>
        <v>0</v>
      </c>
      <c r="N41" s="51" t="s">
        <v>9</v>
      </c>
    </row>
    <row r="42" spans="1:14" ht="18.75" hidden="1" outlineLevel="1" x14ac:dyDescent="0.3">
      <c r="A42" s="17" t="s">
        <v>74</v>
      </c>
      <c r="B42" s="3" t="s">
        <v>173</v>
      </c>
      <c r="C42" s="3" t="s">
        <v>171</v>
      </c>
      <c r="D42" s="25" t="s">
        <v>177</v>
      </c>
      <c r="E42" s="30">
        <v>46048</v>
      </c>
      <c r="F42" s="3">
        <v>10527</v>
      </c>
      <c r="G42" s="22">
        <v>1159.31</v>
      </c>
      <c r="H42" s="36">
        <v>46049</v>
      </c>
      <c r="I42" s="3" t="s">
        <v>48</v>
      </c>
      <c r="J42" s="4"/>
      <c r="K42" s="22"/>
      <c r="L42" s="4"/>
      <c r="M42" s="4"/>
      <c r="N42" s="18"/>
    </row>
    <row r="43" spans="1:14" ht="18.75" hidden="1" outlineLevel="1" x14ac:dyDescent="0.3">
      <c r="A43" s="17" t="s">
        <v>75</v>
      </c>
      <c r="B43" s="3" t="s">
        <v>173</v>
      </c>
      <c r="C43" s="3" t="s">
        <v>171</v>
      </c>
      <c r="D43" s="25" t="s">
        <v>177</v>
      </c>
      <c r="E43" s="30">
        <v>46048</v>
      </c>
      <c r="F43" s="3">
        <v>40</v>
      </c>
      <c r="G43" s="22">
        <v>2232.84</v>
      </c>
      <c r="H43" s="36">
        <v>46049</v>
      </c>
      <c r="I43" s="3" t="s">
        <v>48</v>
      </c>
      <c r="J43" s="4"/>
      <c r="K43" s="22"/>
      <c r="L43" s="4"/>
      <c r="M43" s="4"/>
      <c r="N43" s="18"/>
    </row>
    <row r="44" spans="1:14" s="44" customFormat="1" ht="18.75" collapsed="1" x14ac:dyDescent="0.3">
      <c r="A44" s="45">
        <v>10</v>
      </c>
      <c r="B44" s="46" t="s">
        <v>176</v>
      </c>
      <c r="C44" s="46" t="s">
        <v>171</v>
      </c>
      <c r="D44" s="47" t="s">
        <v>175</v>
      </c>
      <c r="E44" s="48"/>
      <c r="F44" s="46"/>
      <c r="G44" s="60">
        <f>SUM(G45)</f>
        <v>603.67999999999995</v>
      </c>
      <c r="H44" s="50"/>
      <c r="I44" s="46"/>
      <c r="J44" s="4">
        <f>Tabela23[[#This Row],[Valor NF]]</f>
        <v>603.67999999999995</v>
      </c>
      <c r="K44" s="49">
        <f>Tabela23[[#This Row],[Valor NF]]</f>
        <v>603.67999999999995</v>
      </c>
      <c r="L44" s="4">
        <f>+Tabela23[[#This Row],[Valor NF]]</f>
        <v>603.67999999999995</v>
      </c>
      <c r="M44" s="4">
        <f>+Tabela23[[#This Row],[Valores contratados]]-Tabela23[[#This Row],[Valores investidos até o momento]]</f>
        <v>0</v>
      </c>
      <c r="N44" s="51" t="s">
        <v>9</v>
      </c>
    </row>
    <row r="45" spans="1:14" ht="18.75" hidden="1" outlineLevel="1" x14ac:dyDescent="0.3">
      <c r="A45" s="17" t="s">
        <v>77</v>
      </c>
      <c r="B45" s="3" t="s">
        <v>176</v>
      </c>
      <c r="C45" s="3" t="s">
        <v>171</v>
      </c>
      <c r="D45" s="25" t="s">
        <v>175</v>
      </c>
      <c r="E45" s="30">
        <v>46045</v>
      </c>
      <c r="F45" s="3">
        <v>71898</v>
      </c>
      <c r="G45" s="22">
        <v>603.67999999999995</v>
      </c>
      <c r="H45" s="36">
        <v>46060</v>
      </c>
      <c r="I45" s="3" t="s">
        <v>44</v>
      </c>
      <c r="J45" s="4"/>
      <c r="K45" s="22"/>
      <c r="L45" s="4"/>
      <c r="M45" s="4"/>
      <c r="N45" s="18"/>
    </row>
    <row r="46" spans="1:14" s="44" customFormat="1" ht="18.75" collapsed="1" x14ac:dyDescent="0.3">
      <c r="A46" s="45">
        <v>11</v>
      </c>
      <c r="B46" s="46" t="s">
        <v>178</v>
      </c>
      <c r="C46" s="46" t="s">
        <v>31</v>
      </c>
      <c r="D46" s="47" t="s">
        <v>183</v>
      </c>
      <c r="E46" s="48"/>
      <c r="F46" s="46"/>
      <c r="G46" s="60">
        <f>SUM(G47)</f>
        <v>7380</v>
      </c>
      <c r="H46" s="50"/>
      <c r="I46" s="46"/>
      <c r="J46" s="4">
        <f>Tabela23[[#This Row],[Valor NF]]</f>
        <v>7380</v>
      </c>
      <c r="K46" s="49">
        <f>Tabela23[[#This Row],[Valor NF]]</f>
        <v>7380</v>
      </c>
      <c r="L46" s="4">
        <f>+Tabela23[[#This Row],[Valor NF]]</f>
        <v>7380</v>
      </c>
      <c r="M46" s="4">
        <f>+Tabela23[[#This Row],[Valores contratados]]-Tabela23[[#This Row],[Valores investidos até o momento]]</f>
        <v>0</v>
      </c>
      <c r="N46" s="51" t="s">
        <v>9</v>
      </c>
    </row>
    <row r="47" spans="1:14" ht="18.75" hidden="1" outlineLevel="1" x14ac:dyDescent="0.3">
      <c r="A47" s="17" t="s">
        <v>78</v>
      </c>
      <c r="B47" s="3" t="s">
        <v>178</v>
      </c>
      <c r="C47" s="3" t="s">
        <v>31</v>
      </c>
      <c r="D47" s="25" t="s">
        <v>183</v>
      </c>
      <c r="E47" s="30">
        <v>46049</v>
      </c>
      <c r="F47" s="3">
        <v>36</v>
      </c>
      <c r="G47" s="22">
        <v>7380</v>
      </c>
      <c r="H47" s="36">
        <v>46052</v>
      </c>
      <c r="I47" s="3" t="s">
        <v>48</v>
      </c>
      <c r="J47" s="4"/>
      <c r="K47" s="22"/>
      <c r="L47" s="4"/>
      <c r="M47" s="4"/>
      <c r="N47" s="18"/>
    </row>
    <row r="48" spans="1:14" s="44" customFormat="1" ht="18.75" collapsed="1" x14ac:dyDescent="0.3">
      <c r="A48" s="45">
        <v>12</v>
      </c>
      <c r="B48" s="46" t="s">
        <v>179</v>
      </c>
      <c r="C48" s="46" t="s">
        <v>32</v>
      </c>
      <c r="D48" s="47" t="s">
        <v>46</v>
      </c>
      <c r="E48" s="48"/>
      <c r="F48" s="46"/>
      <c r="G48" s="60">
        <f>SUM(G49)</f>
        <v>755</v>
      </c>
      <c r="H48" s="50"/>
      <c r="I48" s="46"/>
      <c r="J48" s="4">
        <f>Tabela23[[#This Row],[Valor NF]]</f>
        <v>755</v>
      </c>
      <c r="K48" s="49">
        <f>Tabela23[[#This Row],[Valor NF]]</f>
        <v>755</v>
      </c>
      <c r="L48" s="4">
        <f>+Tabela23[[#This Row],[Valor NF]]</f>
        <v>755</v>
      </c>
      <c r="M48" s="4">
        <f>+Tabela23[[#This Row],[Valores contratados]]-Tabela23[[#This Row],[Valores investidos até o momento]]</f>
        <v>0</v>
      </c>
      <c r="N48" s="51" t="s">
        <v>9</v>
      </c>
    </row>
    <row r="49" spans="1:14" ht="18.75" hidden="1" outlineLevel="1" x14ac:dyDescent="0.3">
      <c r="A49" s="17" t="s">
        <v>79</v>
      </c>
      <c r="B49" s="3" t="s">
        <v>179</v>
      </c>
      <c r="C49" s="3" t="s">
        <v>32</v>
      </c>
      <c r="D49" s="25" t="s">
        <v>46</v>
      </c>
      <c r="E49" s="30">
        <v>46049</v>
      </c>
      <c r="F49" s="3">
        <v>20</v>
      </c>
      <c r="G49" s="22">
        <v>755</v>
      </c>
      <c r="H49" s="36">
        <v>46055</v>
      </c>
      <c r="I49" s="3" t="s">
        <v>48</v>
      </c>
      <c r="J49" s="4"/>
      <c r="K49" s="22"/>
      <c r="L49" s="4"/>
      <c r="M49" s="4"/>
      <c r="N49" s="18"/>
    </row>
    <row r="50" spans="1:14" s="44" customFormat="1" ht="18.75" collapsed="1" x14ac:dyDescent="0.3">
      <c r="A50" s="45">
        <v>13</v>
      </c>
      <c r="B50" s="46" t="s">
        <v>180</v>
      </c>
      <c r="C50" s="46" t="s">
        <v>31</v>
      </c>
      <c r="D50" s="47" t="s">
        <v>46</v>
      </c>
      <c r="E50" s="48"/>
      <c r="F50" s="46"/>
      <c r="G50" s="60">
        <f>SUM(G51)</f>
        <v>2220</v>
      </c>
      <c r="H50" s="50"/>
      <c r="I50" s="46"/>
      <c r="J50" s="4">
        <f>Tabela23[[#This Row],[Valor NF]]</f>
        <v>2220</v>
      </c>
      <c r="K50" s="49">
        <f>Tabela23[[#This Row],[Valor NF]]</f>
        <v>2220</v>
      </c>
      <c r="L50" s="4">
        <f>+Tabela23[[#This Row],[Valor NF]]</f>
        <v>2220</v>
      </c>
      <c r="M50" s="4">
        <f>+Tabela23[[#This Row],[Valores contratados]]-Tabela23[[#This Row],[Valores investidos até o momento]]</f>
        <v>0</v>
      </c>
      <c r="N50" s="51" t="s">
        <v>9</v>
      </c>
    </row>
    <row r="51" spans="1:14" ht="18.75" hidden="1" outlineLevel="1" x14ac:dyDescent="0.3">
      <c r="A51" s="17" t="s">
        <v>86</v>
      </c>
      <c r="B51" s="3" t="s">
        <v>180</v>
      </c>
      <c r="C51" s="3" t="s">
        <v>31</v>
      </c>
      <c r="D51" s="25" t="s">
        <v>46</v>
      </c>
      <c r="E51" s="30">
        <v>46049</v>
      </c>
      <c r="F51" s="3">
        <v>19</v>
      </c>
      <c r="G51" s="22">
        <v>2220</v>
      </c>
      <c r="H51" s="36">
        <v>46055</v>
      </c>
      <c r="I51" s="3" t="s">
        <v>48</v>
      </c>
      <c r="J51" s="4"/>
      <c r="K51" s="22"/>
      <c r="L51" s="4"/>
      <c r="M51" s="4"/>
      <c r="N51" s="18"/>
    </row>
    <row r="52" spans="1:14" s="44" customFormat="1" ht="18.75" collapsed="1" x14ac:dyDescent="0.3">
      <c r="A52" s="45">
        <v>14</v>
      </c>
      <c r="B52" s="46" t="s">
        <v>181</v>
      </c>
      <c r="C52" s="46" t="s">
        <v>31</v>
      </c>
      <c r="D52" s="47" t="s">
        <v>60</v>
      </c>
      <c r="E52" s="48"/>
      <c r="F52" s="46"/>
      <c r="G52" s="60">
        <f>SUM(G53)</f>
        <v>2168</v>
      </c>
      <c r="H52" s="50"/>
      <c r="I52" s="46"/>
      <c r="J52" s="4">
        <f>Tabela23[[#This Row],[Valor NF]]</f>
        <v>2168</v>
      </c>
      <c r="K52" s="49">
        <f>Tabela23[[#This Row],[Valor NF]]</f>
        <v>2168</v>
      </c>
      <c r="L52" s="4">
        <f>+Tabela23[[#This Row],[Valor NF]]</f>
        <v>2168</v>
      </c>
      <c r="M52" s="4">
        <f>+Tabela23[[#This Row],[Valores contratados]]-Tabela23[[#This Row],[Valores investidos até o momento]]</f>
        <v>0</v>
      </c>
      <c r="N52" s="51" t="s">
        <v>9</v>
      </c>
    </row>
    <row r="53" spans="1:14" ht="18.75" hidden="1" outlineLevel="1" x14ac:dyDescent="0.3">
      <c r="A53" s="17" t="s">
        <v>133</v>
      </c>
      <c r="B53" s="3" t="s">
        <v>181</v>
      </c>
      <c r="C53" s="3" t="s">
        <v>31</v>
      </c>
      <c r="D53" s="25" t="s">
        <v>60</v>
      </c>
      <c r="E53" s="30">
        <v>46048</v>
      </c>
      <c r="F53" s="3">
        <v>13</v>
      </c>
      <c r="G53" s="22">
        <v>2168</v>
      </c>
      <c r="H53" s="36">
        <v>46055</v>
      </c>
      <c r="I53" s="3" t="s">
        <v>48</v>
      </c>
      <c r="J53" s="4"/>
      <c r="K53" s="22"/>
      <c r="L53" s="4"/>
      <c r="M53" s="4"/>
      <c r="N53" s="18"/>
    </row>
    <row r="54" spans="1:14" s="44" customFormat="1" ht="18.75" collapsed="1" x14ac:dyDescent="0.3">
      <c r="A54" s="45">
        <v>15</v>
      </c>
      <c r="B54" s="46" t="s">
        <v>182</v>
      </c>
      <c r="C54" s="46" t="s">
        <v>32</v>
      </c>
      <c r="D54" s="47" t="s">
        <v>60</v>
      </c>
      <c r="E54" s="48"/>
      <c r="F54" s="46"/>
      <c r="G54" s="60">
        <f>SUM(G55)</f>
        <v>2970</v>
      </c>
      <c r="H54" s="50"/>
      <c r="I54" s="46"/>
      <c r="J54" s="4">
        <f>Tabela23[[#This Row],[Valor NF]]</f>
        <v>2970</v>
      </c>
      <c r="K54" s="49">
        <f>Tabela23[[#This Row],[Valor NF]]</f>
        <v>2970</v>
      </c>
      <c r="L54" s="4">
        <f>+Tabela23[[#This Row],[Valor NF]]</f>
        <v>2970</v>
      </c>
      <c r="M54" s="4">
        <f>+Tabela23[[#This Row],[Valores contratados]]-Tabela23[[#This Row],[Valores investidos até o momento]]</f>
        <v>0</v>
      </c>
      <c r="N54" s="51" t="s">
        <v>9</v>
      </c>
    </row>
    <row r="55" spans="1:14" ht="18.75" hidden="1" outlineLevel="1" x14ac:dyDescent="0.3">
      <c r="A55" s="17" t="s">
        <v>134</v>
      </c>
      <c r="B55" s="3" t="s">
        <v>182</v>
      </c>
      <c r="C55" s="3" t="s">
        <v>32</v>
      </c>
      <c r="D55" s="25" t="s">
        <v>60</v>
      </c>
      <c r="E55" s="30">
        <v>46048</v>
      </c>
      <c r="F55" s="3">
        <v>14</v>
      </c>
      <c r="G55" s="22">
        <v>2970</v>
      </c>
      <c r="H55" s="36">
        <v>46055</v>
      </c>
      <c r="I55" s="3" t="s">
        <v>48</v>
      </c>
      <c r="J55" s="4"/>
      <c r="K55" s="22"/>
      <c r="L55" s="4"/>
      <c r="M55" s="4"/>
      <c r="N55" s="18"/>
    </row>
    <row r="56" spans="1:14" s="44" customFormat="1" ht="18.75" collapsed="1" x14ac:dyDescent="0.3">
      <c r="A56" s="45">
        <v>16</v>
      </c>
      <c r="B56" s="46" t="s">
        <v>184</v>
      </c>
      <c r="C56" s="46" t="s">
        <v>30</v>
      </c>
      <c r="D56" s="47" t="s">
        <v>185</v>
      </c>
      <c r="E56" s="48"/>
      <c r="F56" s="46"/>
      <c r="G56" s="60">
        <f>SUM(G57:G58)</f>
        <v>20800</v>
      </c>
      <c r="H56" s="50"/>
      <c r="I56" s="46"/>
      <c r="J56" s="4">
        <f>Tabela23[[#This Row],[Valor NF]]</f>
        <v>20800</v>
      </c>
      <c r="K56" s="49">
        <f>Tabela23[[#This Row],[Valor NF]]</f>
        <v>20800</v>
      </c>
      <c r="L56" s="4">
        <f>+Tabela23[[#This Row],[Valor NF]]</f>
        <v>20800</v>
      </c>
      <c r="M56" s="4">
        <f>+Tabela23[[#This Row],[Valores contratados]]-Tabela23[[#This Row],[Valores investidos até o momento]]</f>
        <v>0</v>
      </c>
      <c r="N56" s="51" t="s">
        <v>9</v>
      </c>
    </row>
    <row r="57" spans="1:14" ht="18.75" hidden="1" outlineLevel="1" x14ac:dyDescent="0.3">
      <c r="A57" s="17" t="s">
        <v>138</v>
      </c>
      <c r="B57" s="3" t="s">
        <v>184</v>
      </c>
      <c r="C57" s="3" t="s">
        <v>30</v>
      </c>
      <c r="D57" s="25" t="s">
        <v>185</v>
      </c>
      <c r="E57" s="30">
        <v>46050</v>
      </c>
      <c r="F57" s="3">
        <v>4229</v>
      </c>
      <c r="G57" s="22">
        <v>19300</v>
      </c>
      <c r="H57" s="36">
        <v>46057</v>
      </c>
      <c r="I57" s="3" t="s">
        <v>44</v>
      </c>
      <c r="J57" s="4"/>
      <c r="K57" s="22"/>
      <c r="L57" s="4"/>
      <c r="M57" s="4"/>
      <c r="N57" s="18"/>
    </row>
    <row r="58" spans="1:14" ht="18.75" hidden="1" outlineLevel="1" x14ac:dyDescent="0.3">
      <c r="A58" s="17" t="s">
        <v>140</v>
      </c>
      <c r="B58" s="3" t="s">
        <v>184</v>
      </c>
      <c r="C58" s="3" t="s">
        <v>30</v>
      </c>
      <c r="D58" s="25" t="s">
        <v>185</v>
      </c>
      <c r="E58" s="30">
        <v>46083</v>
      </c>
      <c r="F58" s="3">
        <v>4250</v>
      </c>
      <c r="G58" s="22">
        <v>1500</v>
      </c>
      <c r="H58" s="36">
        <v>46071</v>
      </c>
      <c r="I58" s="3" t="s">
        <v>44</v>
      </c>
      <c r="J58" s="4"/>
      <c r="K58" s="22"/>
      <c r="L58" s="4"/>
      <c r="M58" s="4"/>
      <c r="N58" s="18"/>
    </row>
    <row r="59" spans="1:14" s="44" customFormat="1" ht="18.75" collapsed="1" x14ac:dyDescent="0.3">
      <c r="A59" s="45">
        <v>17</v>
      </c>
      <c r="B59" s="46" t="s">
        <v>186</v>
      </c>
      <c r="C59" s="46" t="s">
        <v>31</v>
      </c>
      <c r="D59" s="47" t="s">
        <v>159</v>
      </c>
      <c r="E59" s="48"/>
      <c r="F59" s="46"/>
      <c r="G59" s="60">
        <f>SUM(G60)</f>
        <v>250</v>
      </c>
      <c r="H59" s="50"/>
      <c r="I59" s="46"/>
      <c r="J59" s="4">
        <f>Tabela23[[#This Row],[Valor NF]]</f>
        <v>250</v>
      </c>
      <c r="K59" s="49">
        <f>Tabela23[[#This Row],[Valor NF]]</f>
        <v>250</v>
      </c>
      <c r="L59" s="4">
        <f>+Tabela23[[#This Row],[Valor NF]]</f>
        <v>250</v>
      </c>
      <c r="M59" s="4">
        <f>+Tabela23[[#This Row],[Valores contratados]]-Tabela23[[#This Row],[Valores investidos até o momento]]</f>
        <v>0</v>
      </c>
      <c r="N59" s="51" t="s">
        <v>9</v>
      </c>
    </row>
    <row r="60" spans="1:14" ht="18.75" hidden="1" outlineLevel="1" x14ac:dyDescent="0.3">
      <c r="A60" s="17" t="s">
        <v>142</v>
      </c>
      <c r="B60" s="3" t="s">
        <v>186</v>
      </c>
      <c r="C60" s="3" t="s">
        <v>31</v>
      </c>
      <c r="D60" s="25" t="s">
        <v>159</v>
      </c>
      <c r="E60" s="30">
        <v>46050</v>
      </c>
      <c r="F60" s="3">
        <v>60</v>
      </c>
      <c r="G60" s="22">
        <v>250</v>
      </c>
      <c r="H60" s="36">
        <v>46057</v>
      </c>
      <c r="I60" s="3" t="s">
        <v>48</v>
      </c>
      <c r="J60" s="4"/>
      <c r="K60" s="22"/>
      <c r="L60" s="4"/>
      <c r="M60" s="4"/>
      <c r="N60" s="18"/>
    </row>
    <row r="61" spans="1:14" s="44" customFormat="1" ht="18.75" collapsed="1" x14ac:dyDescent="0.3">
      <c r="A61" s="45">
        <v>18</v>
      </c>
      <c r="B61" s="46" t="s">
        <v>187</v>
      </c>
      <c r="C61" s="46" t="s">
        <v>31</v>
      </c>
      <c r="D61" s="47" t="s">
        <v>188</v>
      </c>
      <c r="E61" s="48"/>
      <c r="F61" s="46"/>
      <c r="G61" s="60">
        <f>SUM(G62)</f>
        <v>1650</v>
      </c>
      <c r="H61" s="50"/>
      <c r="I61" s="46"/>
      <c r="J61" s="4">
        <f>Tabela23[[#This Row],[Valor NF]]</f>
        <v>1650</v>
      </c>
      <c r="K61" s="49">
        <f>Tabela23[[#This Row],[Valor NF]]</f>
        <v>1650</v>
      </c>
      <c r="L61" s="4">
        <f>+Tabela23[[#This Row],[Valor NF]]</f>
        <v>1650</v>
      </c>
      <c r="M61" s="4">
        <f>+Tabela23[[#This Row],[Valores contratados]]-Tabela23[[#This Row],[Valores investidos até o momento]]</f>
        <v>0</v>
      </c>
      <c r="N61" s="51" t="s">
        <v>9</v>
      </c>
    </row>
    <row r="62" spans="1:14" ht="18.75" hidden="1" outlineLevel="1" x14ac:dyDescent="0.3">
      <c r="A62" s="17" t="s">
        <v>145</v>
      </c>
      <c r="B62" s="3" t="s">
        <v>187</v>
      </c>
      <c r="C62" s="3" t="s">
        <v>31</v>
      </c>
      <c r="D62" s="25" t="s">
        <v>188</v>
      </c>
      <c r="E62" s="30">
        <v>46050</v>
      </c>
      <c r="F62" s="3">
        <v>65</v>
      </c>
      <c r="G62" s="22">
        <v>1650</v>
      </c>
      <c r="H62" s="36">
        <v>46065</v>
      </c>
      <c r="I62" s="3" t="s">
        <v>44</v>
      </c>
      <c r="J62" s="4"/>
      <c r="K62" s="22"/>
      <c r="L62" s="4"/>
      <c r="M62" s="4"/>
      <c r="N62" s="18"/>
    </row>
    <row r="63" spans="1:14" s="44" customFormat="1" ht="18.75" collapsed="1" x14ac:dyDescent="0.3">
      <c r="A63" s="45">
        <v>19</v>
      </c>
      <c r="B63" s="46" t="s">
        <v>189</v>
      </c>
      <c r="C63" s="46" t="s">
        <v>31</v>
      </c>
      <c r="D63" s="47" t="s">
        <v>60</v>
      </c>
      <c r="E63" s="48"/>
      <c r="F63" s="46"/>
      <c r="G63" s="60">
        <f>SUM(G64)</f>
        <v>2460</v>
      </c>
      <c r="H63" s="50"/>
      <c r="I63" s="46"/>
      <c r="J63" s="4">
        <f>Tabela23[[#This Row],[Valor NF]]</f>
        <v>2460</v>
      </c>
      <c r="K63" s="49">
        <f>Tabela23[[#This Row],[Valor NF]]</f>
        <v>2460</v>
      </c>
      <c r="L63" s="4">
        <f>+Tabela23[[#This Row],[Valor NF]]</f>
        <v>2460</v>
      </c>
      <c r="M63" s="4">
        <f>+Tabela23[[#This Row],[Valores contratados]]-Tabela23[[#This Row],[Valores investidos até o momento]]</f>
        <v>0</v>
      </c>
      <c r="N63" s="51" t="s">
        <v>9</v>
      </c>
    </row>
    <row r="64" spans="1:14" ht="18.75" hidden="1" outlineLevel="1" x14ac:dyDescent="0.3">
      <c r="A64" s="17" t="s">
        <v>139</v>
      </c>
      <c r="B64" s="3" t="s">
        <v>189</v>
      </c>
      <c r="C64" s="3" t="s">
        <v>31</v>
      </c>
      <c r="D64" s="25" t="s">
        <v>60</v>
      </c>
      <c r="E64" s="30">
        <v>46051</v>
      </c>
      <c r="F64" s="3">
        <v>15</v>
      </c>
      <c r="G64" s="22">
        <v>2460</v>
      </c>
      <c r="H64" s="36">
        <v>46057</v>
      </c>
      <c r="I64" s="3" t="s">
        <v>48</v>
      </c>
      <c r="J64" s="4"/>
      <c r="K64" s="22"/>
      <c r="L64" s="4"/>
      <c r="M64" s="4"/>
      <c r="N64" s="18"/>
    </row>
    <row r="65" spans="1:14" s="44" customFormat="1" ht="18.75" collapsed="1" x14ac:dyDescent="0.3">
      <c r="A65" s="45">
        <v>20</v>
      </c>
      <c r="B65" s="46" t="s">
        <v>192</v>
      </c>
      <c r="C65" s="46" t="s">
        <v>31</v>
      </c>
      <c r="D65" s="47" t="s">
        <v>60</v>
      </c>
      <c r="E65" s="48"/>
      <c r="F65" s="46"/>
      <c r="G65" s="60">
        <f>SUM(G66)</f>
        <v>8253</v>
      </c>
      <c r="H65" s="50"/>
      <c r="I65" s="46"/>
      <c r="J65" s="4">
        <f>Tabela23[[#This Row],[Valor NF]]</f>
        <v>8253</v>
      </c>
      <c r="K65" s="49">
        <f>Tabela23[[#This Row],[Valor NF]]</f>
        <v>8253</v>
      </c>
      <c r="L65" s="4">
        <f>+Tabela23[[#This Row],[Valor NF]]</f>
        <v>8253</v>
      </c>
      <c r="M65" s="4">
        <f>+Tabela23[[#This Row],[Valores contratados]]-Tabela23[[#This Row],[Valores investidos até o momento]]</f>
        <v>0</v>
      </c>
      <c r="N65" s="51" t="s">
        <v>9</v>
      </c>
    </row>
    <row r="66" spans="1:14" ht="18.75" hidden="1" outlineLevel="1" x14ac:dyDescent="0.3">
      <c r="A66" s="17" t="s">
        <v>148</v>
      </c>
      <c r="B66" s="3" t="s">
        <v>192</v>
      </c>
      <c r="C66" s="3" t="s">
        <v>31</v>
      </c>
      <c r="D66" s="25" t="s">
        <v>60</v>
      </c>
      <c r="E66" s="30">
        <v>46063</v>
      </c>
      <c r="F66" s="3">
        <v>16</v>
      </c>
      <c r="G66" s="22">
        <v>8253</v>
      </c>
      <c r="H66" s="36">
        <v>46068</v>
      </c>
      <c r="I66" s="3" t="s">
        <v>48</v>
      </c>
      <c r="J66" s="4"/>
      <c r="K66" s="22"/>
      <c r="L66" s="4"/>
      <c r="M66" s="4"/>
      <c r="N66" s="18"/>
    </row>
    <row r="67" spans="1:14" s="44" customFormat="1" ht="18.75" collapsed="1" x14ac:dyDescent="0.3">
      <c r="A67" s="45">
        <v>21</v>
      </c>
      <c r="B67" s="46" t="s">
        <v>193</v>
      </c>
      <c r="C67" s="46" t="s">
        <v>30</v>
      </c>
      <c r="D67" s="47" t="s">
        <v>73</v>
      </c>
      <c r="E67" s="48"/>
      <c r="F67" s="46"/>
      <c r="G67" s="60">
        <f>SUM(G68)</f>
        <v>26577</v>
      </c>
      <c r="H67" s="50"/>
      <c r="I67" s="46"/>
      <c r="J67" s="4">
        <f>Tabela23[[#This Row],[Valor NF]]</f>
        <v>26577</v>
      </c>
      <c r="K67" s="49">
        <f>Tabela23[[#This Row],[Valor NF]]</f>
        <v>26577</v>
      </c>
      <c r="L67" s="4">
        <f>+Tabela23[[#This Row],[Valor NF]]</f>
        <v>26577</v>
      </c>
      <c r="M67" s="4">
        <f>+Tabela23[[#This Row],[Valores contratados]]-Tabela23[[#This Row],[Valores investidos até o momento]]</f>
        <v>0</v>
      </c>
      <c r="N67" s="51" t="s">
        <v>9</v>
      </c>
    </row>
    <row r="68" spans="1:14" ht="18.75" hidden="1" outlineLevel="1" x14ac:dyDescent="0.3">
      <c r="A68" s="17" t="s">
        <v>149</v>
      </c>
      <c r="B68" s="3" t="s">
        <v>193</v>
      </c>
      <c r="C68" s="3" t="s">
        <v>30</v>
      </c>
      <c r="D68" s="25" t="s">
        <v>73</v>
      </c>
      <c r="E68" s="30">
        <v>46072</v>
      </c>
      <c r="F68" s="3">
        <v>10</v>
      </c>
      <c r="G68" s="22">
        <v>26577</v>
      </c>
      <c r="H68" s="36">
        <v>46078</v>
      </c>
      <c r="I68" s="3" t="s">
        <v>48</v>
      </c>
      <c r="J68" s="4"/>
      <c r="K68" s="22"/>
      <c r="L68" s="4"/>
      <c r="M68" s="4"/>
      <c r="N68" s="18"/>
    </row>
    <row r="69" spans="1:14" s="44" customFormat="1" ht="18.75" collapsed="1" x14ac:dyDescent="0.3">
      <c r="A69" s="45">
        <v>22</v>
      </c>
      <c r="B69" s="46" t="s">
        <v>194</v>
      </c>
      <c r="C69" s="46" t="s">
        <v>31</v>
      </c>
      <c r="D69" s="47" t="s">
        <v>159</v>
      </c>
      <c r="E69" s="48"/>
      <c r="F69" s="46"/>
      <c r="G69" s="60">
        <f>SUM(G70)</f>
        <v>1900</v>
      </c>
      <c r="H69" s="50"/>
      <c r="I69" s="46"/>
      <c r="J69" s="4">
        <f>Tabela23[[#This Row],[Valor NF]]</f>
        <v>1900</v>
      </c>
      <c r="K69" s="49">
        <f>Tabela23[[#This Row],[Valor NF]]</f>
        <v>1900</v>
      </c>
      <c r="L69" s="4">
        <f>+Tabela23[[#This Row],[Valor NF]]</f>
        <v>1900</v>
      </c>
      <c r="M69" s="4">
        <f>+Tabela23[[#This Row],[Valores contratados]]-Tabela23[[#This Row],[Valores investidos até o momento]]</f>
        <v>0</v>
      </c>
      <c r="N69" s="51" t="s">
        <v>9</v>
      </c>
    </row>
    <row r="70" spans="1:14" ht="18.75" hidden="1" outlineLevel="1" x14ac:dyDescent="0.3">
      <c r="A70" s="17" t="s">
        <v>150</v>
      </c>
      <c r="B70" s="3" t="s">
        <v>194</v>
      </c>
      <c r="C70" s="3" t="s">
        <v>31</v>
      </c>
      <c r="D70" s="25" t="s">
        <v>159</v>
      </c>
      <c r="E70" s="30">
        <v>46072</v>
      </c>
      <c r="F70" s="3">
        <v>62</v>
      </c>
      <c r="G70" s="22">
        <v>1900</v>
      </c>
      <c r="H70" s="36">
        <v>46078</v>
      </c>
      <c r="I70" s="3" t="s">
        <v>48</v>
      </c>
      <c r="J70" s="4"/>
      <c r="K70" s="22"/>
      <c r="L70" s="4"/>
      <c r="M70" s="4"/>
      <c r="N70" s="18" t="s">
        <v>195</v>
      </c>
    </row>
    <row r="71" spans="1:14" s="44" customFormat="1" ht="18.75" collapsed="1" x14ac:dyDescent="0.3">
      <c r="A71" s="45">
        <v>23</v>
      </c>
      <c r="B71" s="46" t="s">
        <v>196</v>
      </c>
      <c r="C71" s="46" t="s">
        <v>30</v>
      </c>
      <c r="D71" s="47" t="s">
        <v>197</v>
      </c>
      <c r="E71" s="48"/>
      <c r="F71" s="46"/>
      <c r="G71" s="60">
        <f>SUM(G72)</f>
        <v>2500</v>
      </c>
      <c r="H71" s="50"/>
      <c r="I71" s="46"/>
      <c r="J71" s="4">
        <f>Tabela23[[#This Row],[Valor NF]]</f>
        <v>2500</v>
      </c>
      <c r="K71" s="49">
        <f>Tabela23[[#This Row],[Valor NF]]</f>
        <v>2500</v>
      </c>
      <c r="L71" s="4">
        <f>+Tabela23[[#This Row],[Valor NF]]</f>
        <v>2500</v>
      </c>
      <c r="M71" s="4">
        <f>+Tabela23[[#This Row],[Valores contratados]]-Tabela23[[#This Row],[Valores investidos até o momento]]</f>
        <v>0</v>
      </c>
      <c r="N71" s="51" t="s">
        <v>9</v>
      </c>
    </row>
    <row r="72" spans="1:14" ht="18.75" hidden="1" outlineLevel="1" x14ac:dyDescent="0.3">
      <c r="A72" s="17" t="s">
        <v>151</v>
      </c>
      <c r="B72" s="3" t="s">
        <v>196</v>
      </c>
      <c r="C72" s="3" t="s">
        <v>30</v>
      </c>
      <c r="D72" s="25" t="s">
        <v>197</v>
      </c>
      <c r="E72" s="30">
        <v>46086</v>
      </c>
      <c r="F72" s="3">
        <v>6</v>
      </c>
      <c r="G72" s="22">
        <v>2500</v>
      </c>
      <c r="H72" s="36">
        <v>46099</v>
      </c>
      <c r="I72" s="3" t="s">
        <v>44</v>
      </c>
      <c r="J72" s="4"/>
      <c r="K72" s="22"/>
      <c r="L72" s="4"/>
      <c r="M72" s="4"/>
      <c r="N72" s="18" t="s">
        <v>198</v>
      </c>
    </row>
    <row r="73" spans="1:14" s="44" customFormat="1" ht="18.75" collapsed="1" x14ac:dyDescent="0.3">
      <c r="A73" s="45">
        <v>24</v>
      </c>
      <c r="B73" s="46" t="s">
        <v>199</v>
      </c>
      <c r="C73" s="46" t="s">
        <v>30</v>
      </c>
      <c r="D73" s="47" t="s">
        <v>73</v>
      </c>
      <c r="E73" s="48"/>
      <c r="F73" s="46"/>
      <c r="G73" s="60">
        <f>SUM(G74)</f>
        <v>18919.759999999998</v>
      </c>
      <c r="H73" s="50"/>
      <c r="I73" s="46"/>
      <c r="J73" s="4">
        <f>Tabela23[[#This Row],[Valor NF]]</f>
        <v>18919.759999999998</v>
      </c>
      <c r="K73" s="49">
        <f>Tabela23[[#This Row],[Valor NF]]</f>
        <v>18919.759999999998</v>
      </c>
      <c r="L73" s="4">
        <f>+Tabela23[[#This Row],[Valor NF]]</f>
        <v>18919.759999999998</v>
      </c>
      <c r="M73" s="4">
        <f>+Tabela23[[#This Row],[Valores contratados]]-Tabela23[[#This Row],[Valores investidos até o momento]]</f>
        <v>0</v>
      </c>
      <c r="N73" s="51" t="s">
        <v>9</v>
      </c>
    </row>
    <row r="74" spans="1:14" ht="18.75" hidden="1" outlineLevel="1" x14ac:dyDescent="0.3">
      <c r="A74" s="17" t="s">
        <v>152</v>
      </c>
      <c r="B74" s="3" t="s">
        <v>199</v>
      </c>
      <c r="C74" s="3" t="s">
        <v>30</v>
      </c>
      <c r="D74" s="25" t="s">
        <v>73</v>
      </c>
      <c r="E74" s="30">
        <v>46090</v>
      </c>
      <c r="F74" s="3">
        <v>14</v>
      </c>
      <c r="G74" s="22">
        <v>18919.759999999998</v>
      </c>
      <c r="H74" s="36">
        <v>46095</v>
      </c>
      <c r="I74" s="3" t="s">
        <v>48</v>
      </c>
      <c r="J74" s="4"/>
      <c r="K74" s="22"/>
      <c r="L74" s="4"/>
      <c r="M74" s="4"/>
      <c r="N74" s="18"/>
    </row>
    <row r="75" spans="1:14" s="44" customFormat="1" ht="18.75" collapsed="1" x14ac:dyDescent="0.3">
      <c r="A75" s="45">
        <v>25</v>
      </c>
      <c r="B75" s="46" t="s">
        <v>200</v>
      </c>
      <c r="C75" s="46" t="s">
        <v>30</v>
      </c>
      <c r="D75" s="47" t="s">
        <v>201</v>
      </c>
      <c r="E75" s="48"/>
      <c r="F75" s="46"/>
      <c r="G75" s="60">
        <f>SUM(G76)</f>
        <v>14800</v>
      </c>
      <c r="H75" s="50"/>
      <c r="I75" s="46"/>
      <c r="J75" s="4">
        <f>Tabela23[[#This Row],[Valor NF]]</f>
        <v>14800</v>
      </c>
      <c r="K75" s="49">
        <f>Tabela23[[#This Row],[Valor NF]]</f>
        <v>14800</v>
      </c>
      <c r="L75" s="4">
        <f>+Tabela23[[#This Row],[Valor NF]]</f>
        <v>14800</v>
      </c>
      <c r="M75" s="4">
        <f>+Tabela23[[#This Row],[Valores contratados]]-Tabela23[[#This Row],[Valores investidos até o momento]]</f>
        <v>0</v>
      </c>
      <c r="N75" s="51" t="s">
        <v>9</v>
      </c>
    </row>
    <row r="76" spans="1:14" ht="18.75" hidden="1" outlineLevel="1" x14ac:dyDescent="0.3">
      <c r="A76" s="17" t="s">
        <v>153</v>
      </c>
      <c r="B76" s="3" t="s">
        <v>200</v>
      </c>
      <c r="C76" s="3" t="s">
        <v>30</v>
      </c>
      <c r="D76" s="25" t="s">
        <v>201</v>
      </c>
      <c r="E76" s="30">
        <v>46092</v>
      </c>
      <c r="F76" s="3">
        <v>30</v>
      </c>
      <c r="G76" s="22">
        <v>14800</v>
      </c>
      <c r="H76" s="36">
        <v>46102</v>
      </c>
      <c r="I76" s="3" t="s">
        <v>44</v>
      </c>
      <c r="J76" s="4"/>
      <c r="K76" s="22"/>
      <c r="L76" s="4"/>
      <c r="M76" s="4"/>
      <c r="N76" s="18"/>
    </row>
    <row r="77" spans="1:14" ht="18.75" collapsed="1" x14ac:dyDescent="0.3">
      <c r="A77" s="45">
        <v>26</v>
      </c>
      <c r="B77" s="46" t="s">
        <v>194</v>
      </c>
      <c r="C77" s="46" t="s">
        <v>31</v>
      </c>
      <c r="D77" s="47" t="s">
        <v>159</v>
      </c>
      <c r="E77" s="48"/>
      <c r="F77" s="46"/>
      <c r="G77" s="60">
        <f>SUM(G78)</f>
        <v>1170</v>
      </c>
      <c r="H77" s="50"/>
      <c r="I77" s="46"/>
      <c r="J77" s="4">
        <f>Tabela23[[#This Row],[Valor NF]]</f>
        <v>1170</v>
      </c>
      <c r="K77" s="49">
        <f>Tabela23[[#This Row],[Valor NF]]</f>
        <v>1170</v>
      </c>
      <c r="L77" s="4">
        <f>+Tabela23[[#This Row],[Valor NF]]</f>
        <v>1170</v>
      </c>
      <c r="M77" s="4">
        <f>+Tabela23[[#This Row],[Valores contratados]]-Tabela23[[#This Row],[Valores investidos até o momento]]</f>
        <v>0</v>
      </c>
      <c r="N77" s="51" t="s">
        <v>9</v>
      </c>
    </row>
    <row r="78" spans="1:14" ht="18.75" hidden="1" outlineLevel="1" x14ac:dyDescent="0.3">
      <c r="A78" s="17" t="s">
        <v>154</v>
      </c>
      <c r="B78" s="3" t="s">
        <v>194</v>
      </c>
      <c r="C78" s="3" t="s">
        <v>31</v>
      </c>
      <c r="D78" s="25" t="s">
        <v>159</v>
      </c>
      <c r="E78" s="30">
        <v>46098</v>
      </c>
      <c r="F78" s="3">
        <v>64</v>
      </c>
      <c r="G78" s="22">
        <v>1170</v>
      </c>
      <c r="H78" s="36">
        <v>46103</v>
      </c>
      <c r="I78" s="3" t="s">
        <v>48</v>
      </c>
      <c r="J78" s="4"/>
      <c r="K78" s="22"/>
      <c r="L78" s="4"/>
      <c r="M78" s="4"/>
      <c r="N78" s="18" t="s">
        <v>202</v>
      </c>
    </row>
    <row r="79" spans="1:14" ht="18.75" collapsed="1" x14ac:dyDescent="0.3">
      <c r="A79" s="45">
        <v>27</v>
      </c>
      <c r="B79" s="46" t="s">
        <v>204</v>
      </c>
      <c r="C79" s="46" t="s">
        <v>30</v>
      </c>
      <c r="D79" s="47" t="s">
        <v>205</v>
      </c>
      <c r="E79" s="48"/>
      <c r="F79" s="46"/>
      <c r="G79" s="60">
        <f>SUM(G80)</f>
        <v>2300</v>
      </c>
      <c r="H79" s="50"/>
      <c r="I79" s="46"/>
      <c r="J79" s="4">
        <f>Tabela23[[#This Row],[Valor NF]]</f>
        <v>2300</v>
      </c>
      <c r="K79" s="49">
        <f>Tabela23[[#This Row],[Valor NF]]</f>
        <v>2300</v>
      </c>
      <c r="L79" s="4">
        <f>+Tabela23[[#This Row],[Valor NF]]</f>
        <v>2300</v>
      </c>
      <c r="M79" s="4">
        <f>+Tabela23[[#This Row],[Valores contratados]]-Tabela23[[#This Row],[Valores investidos até o momento]]</f>
        <v>0</v>
      </c>
      <c r="N79" s="51" t="s">
        <v>9</v>
      </c>
    </row>
    <row r="80" spans="1:14" ht="18.75" hidden="1" outlineLevel="1" x14ac:dyDescent="0.3">
      <c r="A80" s="17" t="s">
        <v>203</v>
      </c>
      <c r="B80" s="3" t="s">
        <v>204</v>
      </c>
      <c r="C80" s="3" t="s">
        <v>30</v>
      </c>
      <c r="D80" s="25" t="s">
        <v>205</v>
      </c>
      <c r="E80" s="30">
        <v>46099</v>
      </c>
      <c r="F80" s="3">
        <v>3</v>
      </c>
      <c r="G80" s="22">
        <v>2300</v>
      </c>
      <c r="H80" s="36">
        <v>46103</v>
      </c>
      <c r="I80" s="3" t="s">
        <v>206</v>
      </c>
      <c r="J80" s="4"/>
      <c r="K80" s="22"/>
      <c r="L80" s="4"/>
      <c r="M80" s="4"/>
      <c r="N80" s="18" t="s">
        <v>207</v>
      </c>
    </row>
    <row r="81" spans="1:14" ht="18.75" collapsed="1" x14ac:dyDescent="0.3">
      <c r="A81" s="38">
        <v>28</v>
      </c>
      <c r="B81" s="39" t="s">
        <v>209</v>
      </c>
      <c r="C81" s="39" t="s">
        <v>30</v>
      </c>
      <c r="D81" s="40" t="s">
        <v>183</v>
      </c>
      <c r="E81" s="41"/>
      <c r="F81" s="39"/>
      <c r="G81" s="27">
        <f>SUM(G82:G83)</f>
        <v>69850</v>
      </c>
      <c r="H81" s="42"/>
      <c r="I81" s="39"/>
      <c r="J81" s="2">
        <v>70000</v>
      </c>
      <c r="K81" s="27">
        <v>69850</v>
      </c>
      <c r="L81" s="2">
        <f>+Tabela23[[#This Row],[Valor NF]]</f>
        <v>69850</v>
      </c>
      <c r="M81" s="2">
        <f>+Tabela23[[#This Row],[Valores contratados]]-Tabela23[[#This Row],[Valores investidos até o momento]]</f>
        <v>0</v>
      </c>
      <c r="N81" s="43" t="s">
        <v>9</v>
      </c>
    </row>
    <row r="82" spans="1:14" ht="18.75" hidden="1" outlineLevel="1" x14ac:dyDescent="0.3">
      <c r="A82" s="15" t="s">
        <v>208</v>
      </c>
      <c r="B82" s="1" t="s">
        <v>209</v>
      </c>
      <c r="C82" s="1" t="s">
        <v>30</v>
      </c>
      <c r="D82" s="24" t="s">
        <v>183</v>
      </c>
      <c r="E82" s="29">
        <v>46100</v>
      </c>
      <c r="F82" s="1">
        <v>38</v>
      </c>
      <c r="G82" s="21">
        <v>39175</v>
      </c>
      <c r="H82" s="35">
        <v>46103</v>
      </c>
      <c r="I82" s="1" t="s">
        <v>48</v>
      </c>
      <c r="J82" s="2"/>
      <c r="K82" s="21"/>
      <c r="L82" s="2"/>
      <c r="M82" s="2"/>
      <c r="N82" s="16" t="s">
        <v>210</v>
      </c>
    </row>
    <row r="83" spans="1:14" ht="18.75" hidden="1" outlineLevel="1" x14ac:dyDescent="0.3">
      <c r="A83" s="15"/>
      <c r="B83" s="1" t="s">
        <v>209</v>
      </c>
      <c r="C83" s="1" t="s">
        <v>30</v>
      </c>
      <c r="D83" s="24" t="s">
        <v>183</v>
      </c>
      <c r="E83" s="29">
        <v>46160</v>
      </c>
      <c r="F83" s="1">
        <v>41</v>
      </c>
      <c r="G83" s="21">
        <v>30675</v>
      </c>
      <c r="H83" s="35">
        <v>46103</v>
      </c>
      <c r="I83" s="1" t="s">
        <v>48</v>
      </c>
      <c r="J83" s="2"/>
      <c r="K83" s="21"/>
      <c r="L83" s="2"/>
      <c r="M83" s="2"/>
      <c r="N83" s="16" t="s">
        <v>245</v>
      </c>
    </row>
    <row r="84" spans="1:14" ht="18.75" collapsed="1" x14ac:dyDescent="0.3">
      <c r="A84" s="45">
        <v>29</v>
      </c>
      <c r="B84" s="46" t="s">
        <v>212</v>
      </c>
      <c r="C84" s="46" t="s">
        <v>31</v>
      </c>
      <c r="D84" s="47" t="s">
        <v>60</v>
      </c>
      <c r="E84" s="48"/>
      <c r="F84" s="46"/>
      <c r="G84" s="60">
        <f>SUM(G85)</f>
        <v>8738</v>
      </c>
      <c r="H84" s="50"/>
      <c r="I84" s="46"/>
      <c r="J84" s="4">
        <f>Tabela23[[#This Row],[Valor NF]]</f>
        <v>8738</v>
      </c>
      <c r="K84" s="49">
        <f>Tabela23[[#This Row],[Valor NF]]</f>
        <v>8738</v>
      </c>
      <c r="L84" s="4">
        <f>+Tabela23[[#This Row],[Valor NF]]</f>
        <v>8738</v>
      </c>
      <c r="M84" s="4">
        <f>+Tabela23[[#This Row],[Valores contratados]]-Tabela23[[#This Row],[Valores investidos até o momento]]</f>
        <v>0</v>
      </c>
      <c r="N84" s="51" t="s">
        <v>9</v>
      </c>
    </row>
    <row r="85" spans="1:14" ht="18.75" hidden="1" outlineLevel="1" x14ac:dyDescent="0.3">
      <c r="A85" s="17" t="s">
        <v>211</v>
      </c>
      <c r="B85" s="3" t="s">
        <v>212</v>
      </c>
      <c r="C85" s="3" t="s">
        <v>31</v>
      </c>
      <c r="D85" s="25" t="s">
        <v>60</v>
      </c>
      <c r="E85" s="30">
        <v>46100</v>
      </c>
      <c r="F85" s="3">
        <v>30</v>
      </c>
      <c r="G85" s="22">
        <v>8738</v>
      </c>
      <c r="H85" s="36">
        <v>46104</v>
      </c>
      <c r="I85" s="3" t="s">
        <v>48</v>
      </c>
      <c r="J85" s="4"/>
      <c r="K85" s="22"/>
      <c r="L85" s="4"/>
      <c r="M85" s="4"/>
      <c r="N85" s="18" t="s">
        <v>213</v>
      </c>
    </row>
    <row r="86" spans="1:14" ht="18.75" collapsed="1" x14ac:dyDescent="0.3">
      <c r="A86" s="45">
        <v>30</v>
      </c>
      <c r="B86" s="46" t="s">
        <v>214</v>
      </c>
      <c r="C86" s="46" t="s">
        <v>31</v>
      </c>
      <c r="D86" s="47" t="s">
        <v>216</v>
      </c>
      <c r="E86" s="48"/>
      <c r="F86" s="46"/>
      <c r="G86" s="60">
        <f>SUM(G87)</f>
        <v>2100</v>
      </c>
      <c r="H86" s="50"/>
      <c r="I86" s="46"/>
      <c r="J86" s="4">
        <f>Tabela23[[#This Row],[Valor NF]]</f>
        <v>2100</v>
      </c>
      <c r="K86" s="49">
        <f>Tabela23[[#This Row],[Valor NF]]</f>
        <v>2100</v>
      </c>
      <c r="L86" s="4">
        <f>+Tabela23[[#This Row],[Valor NF]]</f>
        <v>2100</v>
      </c>
      <c r="M86" s="4">
        <f>+Tabela23[[#This Row],[Valores contratados]]-Tabela23[[#This Row],[Valores investidos até o momento]]</f>
        <v>0</v>
      </c>
      <c r="N86" s="51" t="s">
        <v>9</v>
      </c>
    </row>
    <row r="87" spans="1:14" ht="18.75" hidden="1" outlineLevel="1" x14ac:dyDescent="0.3">
      <c r="A87" s="17" t="s">
        <v>215</v>
      </c>
      <c r="B87" s="3" t="s">
        <v>214</v>
      </c>
      <c r="C87" s="3" t="s">
        <v>31</v>
      </c>
      <c r="D87" s="25" t="s">
        <v>216</v>
      </c>
      <c r="E87" s="30">
        <v>46102</v>
      </c>
      <c r="F87" s="3">
        <v>51102846</v>
      </c>
      <c r="G87" s="22">
        <v>2100</v>
      </c>
      <c r="H87" s="36">
        <v>46107</v>
      </c>
      <c r="I87" s="3" t="s">
        <v>48</v>
      </c>
      <c r="J87" s="4"/>
      <c r="K87" s="22"/>
      <c r="L87" s="4"/>
      <c r="M87" s="4"/>
      <c r="N87" s="18" t="s">
        <v>217</v>
      </c>
    </row>
    <row r="88" spans="1:14" ht="18.75" collapsed="1" x14ac:dyDescent="0.3">
      <c r="A88" s="45">
        <v>31</v>
      </c>
      <c r="B88" s="46" t="s">
        <v>221</v>
      </c>
      <c r="C88" s="46" t="s">
        <v>31</v>
      </c>
      <c r="D88" s="47" t="s">
        <v>222</v>
      </c>
      <c r="E88" s="48"/>
      <c r="F88" s="46"/>
      <c r="G88" s="60">
        <f>SUM(G89:G90)</f>
        <v>2000</v>
      </c>
      <c r="H88" s="50"/>
      <c r="I88" s="46"/>
      <c r="J88" s="4">
        <f>Tabela23[[#This Row],[Valor NF]]</f>
        <v>2000</v>
      </c>
      <c r="K88" s="49">
        <f>Tabela23[[#This Row],[Valor NF]]</f>
        <v>2000</v>
      </c>
      <c r="L88" s="4">
        <f>+Tabela23[[#This Row],[Valor NF]]</f>
        <v>2000</v>
      </c>
      <c r="M88" s="4">
        <f>+Tabela23[[#This Row],[Valores contratados]]-Tabela23[[#This Row],[Valores investidos até o momento]]</f>
        <v>0</v>
      </c>
      <c r="N88" s="51" t="s">
        <v>9</v>
      </c>
    </row>
    <row r="89" spans="1:14" ht="18.75" hidden="1" outlineLevel="1" x14ac:dyDescent="0.3">
      <c r="A89" s="17" t="s">
        <v>220</v>
      </c>
      <c r="B89" s="3" t="s">
        <v>221</v>
      </c>
      <c r="C89" s="3" t="s">
        <v>31</v>
      </c>
      <c r="D89" s="25" t="s">
        <v>222</v>
      </c>
      <c r="E89" s="30">
        <v>46113</v>
      </c>
      <c r="F89" s="3">
        <v>19</v>
      </c>
      <c r="G89" s="22">
        <v>1000</v>
      </c>
      <c r="H89" s="36">
        <v>46114</v>
      </c>
      <c r="I89" s="3" t="s">
        <v>48</v>
      </c>
      <c r="J89" s="4"/>
      <c r="K89" s="22"/>
      <c r="L89" s="4"/>
      <c r="M89" s="4"/>
      <c r="N89" s="18" t="s">
        <v>227</v>
      </c>
    </row>
    <row r="90" spans="1:14" ht="18.75" hidden="1" outlineLevel="1" x14ac:dyDescent="0.3">
      <c r="A90" s="17" t="s">
        <v>226</v>
      </c>
      <c r="B90" s="3" t="s">
        <v>221</v>
      </c>
      <c r="C90" s="3" t="s">
        <v>31</v>
      </c>
      <c r="D90" s="25" t="s">
        <v>222</v>
      </c>
      <c r="E90" s="30">
        <v>46124</v>
      </c>
      <c r="F90" s="3">
        <v>21</v>
      </c>
      <c r="G90" s="22">
        <v>1000</v>
      </c>
      <c r="H90" s="36">
        <v>46128</v>
      </c>
      <c r="I90" s="3" t="s">
        <v>48</v>
      </c>
      <c r="J90" s="4"/>
      <c r="K90" s="22"/>
      <c r="L90" s="4"/>
      <c r="M90" s="4"/>
      <c r="N90" s="18" t="s">
        <v>227</v>
      </c>
    </row>
    <row r="91" spans="1:14" ht="18.75" collapsed="1" x14ac:dyDescent="0.3">
      <c r="A91" s="45">
        <v>32</v>
      </c>
      <c r="B91" s="46" t="s">
        <v>223</v>
      </c>
      <c r="C91" s="46" t="s">
        <v>31</v>
      </c>
      <c r="D91" s="47" t="s">
        <v>71</v>
      </c>
      <c r="E91" s="48"/>
      <c r="F91" s="46"/>
      <c r="G91" s="60">
        <f>SUM(G92:G93)</f>
        <v>6794.98</v>
      </c>
      <c r="H91" s="50"/>
      <c r="I91" s="46"/>
      <c r="J91" s="4">
        <f>Tabela23[[#This Row],[Valor NF]]</f>
        <v>6794.98</v>
      </c>
      <c r="K91" s="49">
        <f>Tabela23[[#This Row],[Valor NF]]</f>
        <v>6794.98</v>
      </c>
      <c r="L91" s="4">
        <f>+Tabela23[[#This Row],[Valor NF]]</f>
        <v>6794.98</v>
      </c>
      <c r="M91" s="4">
        <f>+Tabela23[[#This Row],[Valores contratados]]-Tabela23[[#This Row],[Valores investidos até o momento]]</f>
        <v>0</v>
      </c>
      <c r="N91" s="51" t="s">
        <v>9</v>
      </c>
    </row>
    <row r="92" spans="1:14" ht="18.75" hidden="1" outlineLevel="1" x14ac:dyDescent="0.3">
      <c r="A92" s="17" t="s">
        <v>224</v>
      </c>
      <c r="B92" s="3" t="s">
        <v>223</v>
      </c>
      <c r="C92" s="3" t="s">
        <v>31</v>
      </c>
      <c r="D92" s="25" t="s">
        <v>47</v>
      </c>
      <c r="E92" s="30">
        <v>46114</v>
      </c>
      <c r="F92" s="3">
        <v>137</v>
      </c>
      <c r="G92" s="22">
        <v>3409.68</v>
      </c>
      <c r="H92" s="36">
        <v>46120</v>
      </c>
      <c r="I92" s="3" t="s">
        <v>48</v>
      </c>
      <c r="J92" s="4"/>
      <c r="K92" s="22"/>
      <c r="L92" s="4"/>
      <c r="M92" s="4"/>
      <c r="N92" s="18"/>
    </row>
    <row r="93" spans="1:14" ht="18.75" hidden="1" outlineLevel="1" x14ac:dyDescent="0.3">
      <c r="A93" s="17" t="s">
        <v>225</v>
      </c>
      <c r="B93" s="3" t="s">
        <v>223</v>
      </c>
      <c r="C93" s="3" t="s">
        <v>31</v>
      </c>
      <c r="D93" s="25" t="s">
        <v>46</v>
      </c>
      <c r="E93" s="30">
        <v>46114</v>
      </c>
      <c r="F93" s="3">
        <v>29</v>
      </c>
      <c r="G93" s="22">
        <v>3385.3</v>
      </c>
      <c r="H93" s="36">
        <v>46120</v>
      </c>
      <c r="I93" s="3" t="s">
        <v>48</v>
      </c>
      <c r="J93" s="4"/>
      <c r="K93" s="22"/>
      <c r="L93" s="4"/>
      <c r="M93" s="4"/>
      <c r="N93" s="18"/>
    </row>
    <row r="94" spans="1:14" ht="18.75" collapsed="1" x14ac:dyDescent="0.3">
      <c r="A94" s="45">
        <v>33</v>
      </c>
      <c r="B94" s="46" t="s">
        <v>229</v>
      </c>
      <c r="C94" s="46" t="s">
        <v>31</v>
      </c>
      <c r="D94" s="47" t="s">
        <v>230</v>
      </c>
      <c r="E94" s="48"/>
      <c r="F94" s="46"/>
      <c r="G94" s="60">
        <f>SUM(G95)</f>
        <v>2050</v>
      </c>
      <c r="H94" s="50"/>
      <c r="I94" s="46"/>
      <c r="J94" s="4">
        <f>Tabela23[[#This Row],[Valor NF]]</f>
        <v>2050</v>
      </c>
      <c r="K94" s="49">
        <f>Tabela23[[#This Row],[Valor NF]]</f>
        <v>2050</v>
      </c>
      <c r="L94" s="4">
        <f>+Tabela23[[#This Row],[Valor NF]]</f>
        <v>2050</v>
      </c>
      <c r="M94" s="4">
        <f>+Tabela23[[#This Row],[Valores contratados]]-Tabela23[[#This Row],[Valores investidos até o momento]]</f>
        <v>0</v>
      </c>
      <c r="N94" s="51" t="s">
        <v>9</v>
      </c>
    </row>
    <row r="95" spans="1:14" ht="18.75" hidden="1" outlineLevel="1" x14ac:dyDescent="0.3">
      <c r="A95" s="17" t="s">
        <v>224</v>
      </c>
      <c r="B95" s="3" t="s">
        <v>229</v>
      </c>
      <c r="C95" s="3" t="s">
        <v>31</v>
      </c>
      <c r="D95" s="25" t="s">
        <v>230</v>
      </c>
      <c r="E95" s="30">
        <v>46129</v>
      </c>
      <c r="F95" s="3">
        <v>112</v>
      </c>
      <c r="G95" s="22">
        <v>2050</v>
      </c>
      <c r="H95" s="36">
        <v>46136</v>
      </c>
      <c r="I95" s="3" t="s">
        <v>44</v>
      </c>
      <c r="J95" s="4"/>
      <c r="K95" s="22"/>
      <c r="L95" s="4"/>
      <c r="M95" s="4"/>
      <c r="N95" s="18"/>
    </row>
    <row r="96" spans="1:14" ht="18.75" collapsed="1" x14ac:dyDescent="0.3">
      <c r="A96" s="45">
        <v>34</v>
      </c>
      <c r="B96" s="46" t="s">
        <v>194</v>
      </c>
      <c r="C96" s="46" t="s">
        <v>31</v>
      </c>
      <c r="D96" s="47" t="s">
        <v>159</v>
      </c>
      <c r="E96" s="48"/>
      <c r="F96" s="46"/>
      <c r="G96" s="60">
        <f>SUM(G97)</f>
        <v>2550</v>
      </c>
      <c r="H96" s="50"/>
      <c r="I96" s="46"/>
      <c r="J96" s="4">
        <f>Tabela23[[#This Row],[Valor NF]]</f>
        <v>2550</v>
      </c>
      <c r="K96" s="49">
        <f>Tabela23[[#This Row],[Valor NF]]</f>
        <v>2550</v>
      </c>
      <c r="L96" s="4">
        <f>+Tabela23[[#This Row],[Valor NF]]</f>
        <v>2550</v>
      </c>
      <c r="M96" s="4">
        <f>+Tabela23[[#This Row],[Valores contratados]]-Tabela23[[#This Row],[Valores investidos até o momento]]</f>
        <v>0</v>
      </c>
      <c r="N96" s="51" t="s">
        <v>9</v>
      </c>
    </row>
    <row r="97" spans="1:14" ht="18.75" hidden="1" outlineLevel="1" x14ac:dyDescent="0.3">
      <c r="A97" s="17" t="s">
        <v>232</v>
      </c>
      <c r="B97" s="3" t="s">
        <v>194</v>
      </c>
      <c r="C97" s="3" t="s">
        <v>31</v>
      </c>
      <c r="D97" s="25" t="s">
        <v>159</v>
      </c>
      <c r="E97" s="30">
        <v>46135</v>
      </c>
      <c r="F97" s="3">
        <v>67</v>
      </c>
      <c r="G97" s="22">
        <v>2550</v>
      </c>
      <c r="H97" s="36">
        <v>46140</v>
      </c>
      <c r="I97" s="3" t="s">
        <v>48</v>
      </c>
      <c r="J97" s="4"/>
      <c r="K97" s="22"/>
      <c r="L97" s="4"/>
      <c r="M97" s="4"/>
      <c r="N97" s="18" t="s">
        <v>233</v>
      </c>
    </row>
    <row r="98" spans="1:14" ht="18.75" collapsed="1" x14ac:dyDescent="0.3">
      <c r="A98" s="45">
        <v>35</v>
      </c>
      <c r="B98" s="46" t="s">
        <v>238</v>
      </c>
      <c r="C98" s="46" t="s">
        <v>31</v>
      </c>
      <c r="D98" s="46" t="s">
        <v>47</v>
      </c>
      <c r="E98" s="48"/>
      <c r="F98" s="46"/>
      <c r="G98" s="60">
        <f>SUM(G99)</f>
        <v>1329.5</v>
      </c>
      <c r="H98" s="50"/>
      <c r="I98" s="46"/>
      <c r="J98" s="4">
        <f>Tabela23[[#This Row],[Valor NF]]</f>
        <v>1329.5</v>
      </c>
      <c r="K98" s="49">
        <f>Tabela23[[#This Row],[Valor NF]]</f>
        <v>1329.5</v>
      </c>
      <c r="L98" s="4">
        <f>+Tabela23[[#This Row],[Valor NF]]</f>
        <v>1329.5</v>
      </c>
      <c r="M98" s="4">
        <f>+Tabela23[[#This Row],[Valores contratados]]-Tabela23[[#This Row],[Valores investidos até o momento]]</f>
        <v>0</v>
      </c>
      <c r="N98" s="51" t="s">
        <v>9</v>
      </c>
    </row>
    <row r="99" spans="1:14" ht="18.75" hidden="1" outlineLevel="1" x14ac:dyDescent="0.3">
      <c r="A99" s="17" t="s">
        <v>235</v>
      </c>
      <c r="B99" s="3" t="s">
        <v>238</v>
      </c>
      <c r="C99" s="3" t="s">
        <v>31</v>
      </c>
      <c r="D99" s="3" t="s">
        <v>47</v>
      </c>
      <c r="E99" s="30">
        <v>46149</v>
      </c>
      <c r="F99" s="3">
        <v>155</v>
      </c>
      <c r="G99" s="22">
        <v>1329.5</v>
      </c>
      <c r="H99" s="36">
        <v>46157</v>
      </c>
      <c r="I99" s="3" t="s">
        <v>48</v>
      </c>
      <c r="J99" s="4"/>
      <c r="K99" s="22"/>
      <c r="L99" s="4"/>
      <c r="M99" s="4"/>
      <c r="N99" s="18" t="s">
        <v>239</v>
      </c>
    </row>
    <row r="100" spans="1:14" ht="18.75" collapsed="1" x14ac:dyDescent="0.3">
      <c r="A100" s="45">
        <v>36</v>
      </c>
      <c r="B100" s="46" t="s">
        <v>240</v>
      </c>
      <c r="C100" s="46" t="s">
        <v>31</v>
      </c>
      <c r="D100" s="47" t="s">
        <v>71</v>
      </c>
      <c r="E100" s="48"/>
      <c r="F100" s="46"/>
      <c r="G100" s="60">
        <f>SUM(G101:G102)</f>
        <v>2792.5</v>
      </c>
      <c r="H100" s="50"/>
      <c r="I100" s="46"/>
      <c r="J100" s="4">
        <f>Tabela23[[#This Row],[Valor NF]]</f>
        <v>2792.5</v>
      </c>
      <c r="K100" s="49">
        <f>Tabela23[[#This Row],[Valor NF]]</f>
        <v>2792.5</v>
      </c>
      <c r="L100" s="4">
        <f>+Tabela23[[#This Row],[Valor NF]]</f>
        <v>2792.5</v>
      </c>
      <c r="M100" s="4">
        <f>+Tabela23[[#This Row],[Valores contratados]]-Tabela23[[#This Row],[Valores investidos até o momento]]</f>
        <v>0</v>
      </c>
      <c r="N100" s="51" t="s">
        <v>9</v>
      </c>
    </row>
    <row r="101" spans="1:14" ht="18.75" hidden="1" outlineLevel="1" x14ac:dyDescent="0.3">
      <c r="A101" s="17" t="s">
        <v>236</v>
      </c>
      <c r="B101" s="3" t="s">
        <v>240</v>
      </c>
      <c r="C101" s="3" t="s">
        <v>31</v>
      </c>
      <c r="D101" s="25" t="s">
        <v>47</v>
      </c>
      <c r="E101" s="30">
        <v>46149</v>
      </c>
      <c r="F101" s="3">
        <v>156</v>
      </c>
      <c r="G101" s="22">
        <v>990.4</v>
      </c>
      <c r="H101" s="36">
        <v>46157</v>
      </c>
      <c r="I101" s="3" t="s">
        <v>48</v>
      </c>
      <c r="J101" s="4"/>
      <c r="K101" s="22"/>
      <c r="L101" s="4"/>
      <c r="M101" s="4"/>
      <c r="N101" s="18" t="s">
        <v>241</v>
      </c>
    </row>
    <row r="102" spans="1:14" ht="18.75" hidden="1" outlineLevel="1" x14ac:dyDescent="0.3">
      <c r="A102" s="17" t="s">
        <v>237</v>
      </c>
      <c r="B102" s="3" t="s">
        <v>240</v>
      </c>
      <c r="C102" s="3" t="s">
        <v>31</v>
      </c>
      <c r="D102" s="25" t="s">
        <v>46</v>
      </c>
      <c r="E102" s="30">
        <v>46149</v>
      </c>
      <c r="F102" s="3">
        <v>32</v>
      </c>
      <c r="G102" s="22">
        <v>1802.1</v>
      </c>
      <c r="H102" s="36">
        <v>46157</v>
      </c>
      <c r="I102" s="3" t="s">
        <v>48</v>
      </c>
      <c r="J102" s="4"/>
      <c r="K102" s="22"/>
      <c r="L102" s="4"/>
      <c r="M102" s="4"/>
      <c r="N102" s="18" t="s">
        <v>242</v>
      </c>
    </row>
    <row r="103" spans="1:14" ht="18.75" collapsed="1" x14ac:dyDescent="0.3">
      <c r="A103" s="45">
        <v>37</v>
      </c>
      <c r="B103" s="46" t="s">
        <v>194</v>
      </c>
      <c r="C103" s="46" t="s">
        <v>31</v>
      </c>
      <c r="D103" s="47" t="s">
        <v>159</v>
      </c>
      <c r="E103" s="48"/>
      <c r="F103" s="46"/>
      <c r="G103" s="60">
        <f>SUM(G104)</f>
        <v>1300</v>
      </c>
      <c r="H103" s="50"/>
      <c r="I103" s="46"/>
      <c r="J103" s="4">
        <f>Tabela23[[#This Row],[Valor NF]]</f>
        <v>1300</v>
      </c>
      <c r="K103" s="49">
        <f>Tabela23[[#This Row],[Valor NF]]</f>
        <v>1300</v>
      </c>
      <c r="L103" s="4">
        <f>+Tabela23[[#This Row],[Valor NF]]</f>
        <v>1300</v>
      </c>
      <c r="M103" s="4">
        <f>+Tabela23[[#This Row],[Valores contratados]]-Tabela23[[#This Row],[Valores investidos até o momento]]</f>
        <v>0</v>
      </c>
      <c r="N103" s="51" t="s">
        <v>9</v>
      </c>
    </row>
    <row r="104" spans="1:14" ht="18.75" hidden="1" outlineLevel="1" x14ac:dyDescent="0.3">
      <c r="A104" s="17" t="s">
        <v>243</v>
      </c>
      <c r="B104" s="3" t="s">
        <v>194</v>
      </c>
      <c r="C104" s="3" t="s">
        <v>31</v>
      </c>
      <c r="D104" s="25" t="s">
        <v>159</v>
      </c>
      <c r="E104" s="30">
        <v>46154</v>
      </c>
      <c r="F104" s="3">
        <v>69</v>
      </c>
      <c r="G104" s="22">
        <v>1300</v>
      </c>
      <c r="H104" s="36">
        <v>46160</v>
      </c>
      <c r="I104" s="3" t="s">
        <v>48</v>
      </c>
      <c r="J104" s="4"/>
      <c r="K104" s="22"/>
      <c r="L104" s="4"/>
      <c r="M104" s="4"/>
      <c r="N104" s="18" t="s">
        <v>244</v>
      </c>
    </row>
    <row r="105" spans="1:14" ht="18.75" collapsed="1" x14ac:dyDescent="0.3">
      <c r="A105" s="45">
        <v>38</v>
      </c>
      <c r="B105" s="46" t="s">
        <v>275</v>
      </c>
      <c r="C105" s="46" t="s">
        <v>30</v>
      </c>
      <c r="D105" s="47" t="s">
        <v>197</v>
      </c>
      <c r="E105" s="48"/>
      <c r="F105" s="46"/>
      <c r="G105" s="60">
        <f>SUM(G106:G107)</f>
        <v>19000</v>
      </c>
      <c r="H105" s="50"/>
      <c r="I105" s="46"/>
      <c r="J105" s="4">
        <f>Tabela23[[#This Row],[Valor NF]]</f>
        <v>19000</v>
      </c>
      <c r="K105" s="49">
        <f>Tabela23[[#This Row],[Valor NF]]</f>
        <v>19000</v>
      </c>
      <c r="L105" s="4">
        <f>+Tabela23[[#This Row],[Valor NF]]</f>
        <v>19000</v>
      </c>
      <c r="M105" s="4">
        <f>+Tabela23[[#This Row],[Valores contratados]]-Tabela23[[#This Row],[Valores investidos até o momento]]</f>
        <v>0</v>
      </c>
      <c r="N105" s="51" t="s">
        <v>9</v>
      </c>
    </row>
    <row r="106" spans="1:14" ht="18.75" hidden="1" outlineLevel="1" x14ac:dyDescent="0.3">
      <c r="A106" s="17" t="s">
        <v>247</v>
      </c>
      <c r="B106" s="3" t="s">
        <v>275</v>
      </c>
      <c r="C106" s="3" t="s">
        <v>30</v>
      </c>
      <c r="D106" s="25" t="s">
        <v>197</v>
      </c>
      <c r="E106" s="30">
        <v>46157</v>
      </c>
      <c r="F106" s="3">
        <v>18</v>
      </c>
      <c r="G106" s="22">
        <v>9500</v>
      </c>
      <c r="H106" s="36">
        <v>46162</v>
      </c>
      <c r="I106" s="3" t="s">
        <v>276</v>
      </c>
      <c r="J106" s="4"/>
      <c r="K106" s="22"/>
      <c r="L106" s="4"/>
      <c r="M106" s="4"/>
      <c r="N106" s="18" t="s">
        <v>277</v>
      </c>
    </row>
    <row r="107" spans="1:14" ht="18.75" hidden="1" outlineLevel="1" x14ac:dyDescent="0.3">
      <c r="A107" s="17" t="s">
        <v>269</v>
      </c>
      <c r="B107" s="3" t="s">
        <v>275</v>
      </c>
      <c r="C107" s="3" t="s">
        <v>30</v>
      </c>
      <c r="D107" s="25" t="s">
        <v>197</v>
      </c>
      <c r="E107" s="30">
        <v>46188</v>
      </c>
      <c r="F107" s="3">
        <v>22</v>
      </c>
      <c r="G107" s="22">
        <v>9500</v>
      </c>
      <c r="H107" s="36">
        <v>46162</v>
      </c>
      <c r="I107" s="3" t="s">
        <v>276</v>
      </c>
      <c r="J107" s="4"/>
      <c r="K107" s="22"/>
      <c r="L107" s="4"/>
      <c r="M107" s="4"/>
      <c r="N107" s="18" t="s">
        <v>278</v>
      </c>
    </row>
    <row r="108" spans="1:14" ht="18.75" collapsed="1" x14ac:dyDescent="0.3">
      <c r="A108" s="45">
        <v>39</v>
      </c>
      <c r="B108" s="46" t="s">
        <v>246</v>
      </c>
      <c r="C108" s="46" t="s">
        <v>31</v>
      </c>
      <c r="D108" s="47" t="s">
        <v>60</v>
      </c>
      <c r="E108" s="48"/>
      <c r="F108" s="46"/>
      <c r="G108" s="60">
        <f>SUM(G109)</f>
        <v>8400</v>
      </c>
      <c r="H108" s="50"/>
      <c r="I108" s="46"/>
      <c r="J108" s="4">
        <f>Tabela23[[#This Row],[Valor NF]]</f>
        <v>8400</v>
      </c>
      <c r="K108" s="49">
        <f>Tabela23[[#This Row],[Valor NF]]</f>
        <v>8400</v>
      </c>
      <c r="L108" s="4">
        <f>+Tabela23[[#This Row],[Valor NF]]</f>
        <v>8400</v>
      </c>
      <c r="M108" s="4">
        <f>+Tabela23[[#This Row],[Valores contratados]]-Tabela23[[#This Row],[Valores investidos até o momento]]</f>
        <v>0</v>
      </c>
      <c r="N108" s="51" t="s">
        <v>16</v>
      </c>
    </row>
    <row r="109" spans="1:14" ht="18.75" hidden="1" outlineLevel="1" x14ac:dyDescent="0.3">
      <c r="A109" s="17" t="s">
        <v>249</v>
      </c>
      <c r="B109" s="3" t="s">
        <v>246</v>
      </c>
      <c r="C109" s="3" t="s">
        <v>31</v>
      </c>
      <c r="D109" s="25" t="s">
        <v>60</v>
      </c>
      <c r="E109" s="30">
        <v>46163</v>
      </c>
      <c r="F109" s="3">
        <v>37</v>
      </c>
      <c r="G109" s="22">
        <v>8400</v>
      </c>
      <c r="H109" s="36">
        <v>46169</v>
      </c>
      <c r="I109" s="3" t="s">
        <v>48</v>
      </c>
      <c r="J109" s="4"/>
      <c r="K109" s="22"/>
      <c r="L109" s="4"/>
      <c r="M109" s="4"/>
      <c r="N109" s="18" t="s">
        <v>248</v>
      </c>
    </row>
    <row r="110" spans="1:14" ht="18.75" collapsed="1" x14ac:dyDescent="0.3">
      <c r="A110" s="38">
        <v>40</v>
      </c>
      <c r="B110" s="39" t="s">
        <v>250</v>
      </c>
      <c r="C110" s="39" t="s">
        <v>30</v>
      </c>
      <c r="D110" s="40" t="s">
        <v>60</v>
      </c>
      <c r="E110" s="41"/>
      <c r="F110" s="39"/>
      <c r="G110" s="27">
        <f>SUM(G111:G114)</f>
        <v>44854.25</v>
      </c>
      <c r="H110" s="42"/>
      <c r="I110" s="39"/>
      <c r="J110" s="2">
        <v>55000</v>
      </c>
      <c r="K110" s="27">
        <v>48155</v>
      </c>
      <c r="L110" s="2">
        <f>+Tabela23[[#This Row],[Valor NF]]</f>
        <v>44854.25</v>
      </c>
      <c r="M110" s="2">
        <f>+Tabela23[[#This Row],[Valores contratados]]-Tabela23[[#This Row],[Valores investidos até o momento]]</f>
        <v>3300.75</v>
      </c>
      <c r="N110" s="43" t="s">
        <v>16</v>
      </c>
    </row>
    <row r="111" spans="1:14" ht="18.75" hidden="1" outlineLevel="1" x14ac:dyDescent="0.3">
      <c r="A111" s="15" t="s">
        <v>255</v>
      </c>
      <c r="B111" s="1" t="s">
        <v>250</v>
      </c>
      <c r="C111" s="1" t="s">
        <v>30</v>
      </c>
      <c r="D111" s="24" t="s">
        <v>60</v>
      </c>
      <c r="E111" s="29">
        <v>46163</v>
      </c>
      <c r="F111" s="1">
        <v>38</v>
      </c>
      <c r="G111" s="21">
        <v>16854.25</v>
      </c>
      <c r="H111" s="35">
        <v>46169</v>
      </c>
      <c r="I111" s="1" t="s">
        <v>48</v>
      </c>
      <c r="J111" s="2"/>
      <c r="K111" s="21"/>
      <c r="L111" s="2"/>
      <c r="M111" s="2"/>
      <c r="N111" s="16" t="s">
        <v>251</v>
      </c>
    </row>
    <row r="112" spans="1:14" ht="18.75" hidden="1" outlineLevel="1" x14ac:dyDescent="0.3">
      <c r="A112" s="15" t="s">
        <v>256</v>
      </c>
      <c r="B112" s="1" t="s">
        <v>250</v>
      </c>
      <c r="C112" s="1" t="s">
        <v>30</v>
      </c>
      <c r="D112" s="24" t="s">
        <v>60</v>
      </c>
      <c r="E112" s="29">
        <v>46181</v>
      </c>
      <c r="F112" s="1">
        <v>39</v>
      </c>
      <c r="G112" s="21">
        <v>14000</v>
      </c>
      <c r="H112" s="35">
        <v>46188</v>
      </c>
      <c r="I112" s="1" t="s">
        <v>48</v>
      </c>
      <c r="J112" s="2"/>
      <c r="K112" s="21"/>
      <c r="L112" s="2"/>
      <c r="M112" s="2"/>
      <c r="N112" s="16" t="s">
        <v>263</v>
      </c>
    </row>
    <row r="113" spans="1:14" ht="18.75" hidden="1" outlineLevel="1" x14ac:dyDescent="0.3">
      <c r="A113" s="15" t="s">
        <v>270</v>
      </c>
      <c r="B113" s="1" t="s">
        <v>250</v>
      </c>
      <c r="C113" s="1" t="s">
        <v>30</v>
      </c>
      <c r="D113" s="24" t="s">
        <v>60</v>
      </c>
      <c r="E113" s="29">
        <v>46195</v>
      </c>
      <c r="F113" s="1">
        <v>41</v>
      </c>
      <c r="G113" s="21">
        <v>14000</v>
      </c>
      <c r="H113" s="35">
        <v>46200</v>
      </c>
      <c r="I113" s="1" t="s">
        <v>48</v>
      </c>
      <c r="J113" s="2"/>
      <c r="K113" s="21"/>
      <c r="L113" s="2"/>
      <c r="M113" s="2"/>
      <c r="N113" s="16" t="s">
        <v>291</v>
      </c>
    </row>
    <row r="114" spans="1:14" ht="18.75" hidden="1" outlineLevel="1" x14ac:dyDescent="0.3">
      <c r="A114" s="15" t="s">
        <v>271</v>
      </c>
      <c r="B114" s="1" t="s">
        <v>250</v>
      </c>
      <c r="C114" s="1" t="s">
        <v>30</v>
      </c>
      <c r="D114" s="24" t="s">
        <v>60</v>
      </c>
      <c r="E114" s="29"/>
      <c r="F114" s="1"/>
      <c r="G114" s="21"/>
      <c r="H114" s="35"/>
      <c r="I114" s="1" t="s">
        <v>48</v>
      </c>
      <c r="J114" s="2"/>
      <c r="K114" s="21"/>
      <c r="L114" s="2"/>
      <c r="M114" s="2"/>
      <c r="N114" s="16"/>
    </row>
    <row r="115" spans="1:14" ht="18.75" collapsed="1" x14ac:dyDescent="0.3">
      <c r="A115" s="38">
        <v>41</v>
      </c>
      <c r="B115" s="39" t="s">
        <v>252</v>
      </c>
      <c r="C115" s="39" t="s">
        <v>30</v>
      </c>
      <c r="D115" s="40" t="s">
        <v>253</v>
      </c>
      <c r="E115" s="41"/>
      <c r="F115" s="39"/>
      <c r="G115" s="27">
        <f>SUM(G116)</f>
        <v>8800</v>
      </c>
      <c r="H115" s="42"/>
      <c r="I115" s="39"/>
      <c r="J115" s="2">
        <v>366960</v>
      </c>
      <c r="K115" s="2">
        <v>366960</v>
      </c>
      <c r="L115" s="2">
        <f>+Tabela23[[#This Row],[Valor NF]]</f>
        <v>8800</v>
      </c>
      <c r="M115" s="2">
        <f>+Tabela23[[#This Row],[Valores contratados]]-Tabela23[[#This Row],[Valores investidos até o momento]]</f>
        <v>358160</v>
      </c>
      <c r="N115" s="43" t="s">
        <v>16</v>
      </c>
    </row>
    <row r="116" spans="1:14" ht="18.75" hidden="1" outlineLevel="1" x14ac:dyDescent="0.3">
      <c r="A116" s="15" t="s">
        <v>260</v>
      </c>
      <c r="B116" s="1" t="s">
        <v>252</v>
      </c>
      <c r="C116" s="1" t="s">
        <v>30</v>
      </c>
      <c r="D116" s="24" t="s">
        <v>253</v>
      </c>
      <c r="E116" s="29">
        <v>46167</v>
      </c>
      <c r="F116" s="1">
        <v>844</v>
      </c>
      <c r="G116" s="21">
        <v>8800</v>
      </c>
      <c r="H116" s="35">
        <v>46169</v>
      </c>
      <c r="I116" s="1" t="s">
        <v>48</v>
      </c>
      <c r="J116" s="2"/>
      <c r="K116" s="21"/>
      <c r="L116" s="2"/>
      <c r="M116" s="2"/>
      <c r="N116" s="85" t="s">
        <v>254</v>
      </c>
    </row>
    <row r="117" spans="1:14" ht="18.75" hidden="1" outlineLevel="1" x14ac:dyDescent="0.3">
      <c r="A117" s="15" t="s">
        <v>272</v>
      </c>
      <c r="B117" s="1" t="s">
        <v>252</v>
      </c>
      <c r="C117" s="1" t="s">
        <v>30</v>
      </c>
      <c r="D117" s="24" t="s">
        <v>253</v>
      </c>
      <c r="E117" s="29"/>
      <c r="F117" s="1"/>
      <c r="G117" s="21"/>
      <c r="H117" s="35"/>
      <c r="I117" s="1" t="s">
        <v>48</v>
      </c>
      <c r="J117" s="2"/>
      <c r="K117" s="21"/>
      <c r="L117" s="2"/>
      <c r="M117" s="2"/>
      <c r="N117" s="16"/>
    </row>
    <row r="118" spans="1:14" ht="18.75" collapsed="1" x14ac:dyDescent="0.3">
      <c r="A118" s="45">
        <v>42</v>
      </c>
      <c r="B118" s="46" t="s">
        <v>258</v>
      </c>
      <c r="C118" s="46" t="s">
        <v>30</v>
      </c>
      <c r="D118" s="47" t="s">
        <v>159</v>
      </c>
      <c r="E118" s="48"/>
      <c r="F118" s="46"/>
      <c r="G118" s="60">
        <f>SUM(G119)</f>
        <v>2000</v>
      </c>
      <c r="H118" s="50"/>
      <c r="I118" s="46"/>
      <c r="J118" s="4">
        <f>Tabela23[[#This Row],[Valor NF]]</f>
        <v>2000</v>
      </c>
      <c r="K118" s="49">
        <f>Tabela23[[#This Row],[Valor NF]]</f>
        <v>2000</v>
      </c>
      <c r="L118" s="4">
        <f>+Tabela23[[#This Row],[Valor NF]]</f>
        <v>2000</v>
      </c>
      <c r="M118" s="4">
        <f>+Tabela23[[#This Row],[Valores contratados]]-Tabela23[[#This Row],[Valores investidos até o momento]]</f>
        <v>0</v>
      </c>
      <c r="N118" s="51" t="s">
        <v>9</v>
      </c>
    </row>
    <row r="119" spans="1:14" ht="18.75" hidden="1" outlineLevel="1" x14ac:dyDescent="0.3">
      <c r="A119" s="17" t="s">
        <v>262</v>
      </c>
      <c r="B119" s="3" t="s">
        <v>258</v>
      </c>
      <c r="C119" s="3" t="s">
        <v>30</v>
      </c>
      <c r="D119" s="25" t="s">
        <v>159</v>
      </c>
      <c r="E119" s="30">
        <v>46174</v>
      </c>
      <c r="F119" s="3">
        <v>71</v>
      </c>
      <c r="G119" s="22">
        <v>2000</v>
      </c>
      <c r="H119" s="36">
        <v>46180</v>
      </c>
      <c r="I119" s="3" t="s">
        <v>48</v>
      </c>
      <c r="J119" s="4"/>
      <c r="K119" s="22"/>
      <c r="L119" s="4"/>
      <c r="M119" s="4"/>
      <c r="N119" s="18" t="s">
        <v>259</v>
      </c>
    </row>
    <row r="120" spans="1:14" ht="18.75" collapsed="1" x14ac:dyDescent="0.3">
      <c r="A120" s="45">
        <v>43</v>
      </c>
      <c r="B120" s="46" t="s">
        <v>194</v>
      </c>
      <c r="C120" s="46" t="s">
        <v>31</v>
      </c>
      <c r="D120" s="47" t="s">
        <v>159</v>
      </c>
      <c r="E120" s="48"/>
      <c r="F120" s="46"/>
      <c r="G120" s="60">
        <f>SUM(G121:G121)</f>
        <v>1130</v>
      </c>
      <c r="H120" s="50"/>
      <c r="I120" s="46"/>
      <c r="J120" s="4">
        <f>Tabela23[[#This Row],[Valor NF]]</f>
        <v>1130</v>
      </c>
      <c r="K120" s="49">
        <f>Tabela23[[#This Row],[Valor NF]]</f>
        <v>1130</v>
      </c>
      <c r="L120" s="4">
        <f>+Tabela23[[#This Row],[Valor NF]]</f>
        <v>1130</v>
      </c>
      <c r="M120" s="4">
        <f>+Tabela23[[#This Row],[Valores contratados]]-Tabela23[[#This Row],[Valores investidos até o momento]]</f>
        <v>0</v>
      </c>
      <c r="N120" s="51" t="s">
        <v>9</v>
      </c>
    </row>
    <row r="121" spans="1:14" ht="18.75" hidden="1" outlineLevel="1" x14ac:dyDescent="0.3">
      <c r="A121" s="17" t="s">
        <v>268</v>
      </c>
      <c r="B121" s="3" t="s">
        <v>194</v>
      </c>
      <c r="C121" s="3" t="s">
        <v>31</v>
      </c>
      <c r="D121" s="25" t="s">
        <v>159</v>
      </c>
      <c r="E121" s="30">
        <v>46178</v>
      </c>
      <c r="F121" s="3">
        <v>72</v>
      </c>
      <c r="G121" s="22">
        <v>1130</v>
      </c>
      <c r="H121" s="36">
        <v>46185</v>
      </c>
      <c r="I121" s="3" t="s">
        <v>48</v>
      </c>
      <c r="J121" s="4"/>
      <c r="K121" s="22"/>
      <c r="L121" s="4"/>
      <c r="M121" s="4"/>
      <c r="N121" s="18" t="s">
        <v>261</v>
      </c>
    </row>
    <row r="122" spans="1:14" ht="18.75" collapsed="1" x14ac:dyDescent="0.3">
      <c r="A122" s="45">
        <v>44</v>
      </c>
      <c r="B122" s="46" t="s">
        <v>266</v>
      </c>
      <c r="C122" s="46" t="s">
        <v>30</v>
      </c>
      <c r="D122" s="47" t="s">
        <v>183</v>
      </c>
      <c r="E122" s="48"/>
      <c r="F122" s="46"/>
      <c r="G122" s="60">
        <f>SUM(G123:G124)</f>
        <v>18606</v>
      </c>
      <c r="H122" s="86"/>
      <c r="I122" s="46"/>
      <c r="J122" s="67">
        <v>31010</v>
      </c>
      <c r="K122" s="60">
        <v>31010</v>
      </c>
      <c r="L122" s="67">
        <f>+Tabela23[[#This Row],[Valor NF]]</f>
        <v>18606</v>
      </c>
      <c r="M122" s="67">
        <f>+Tabela23[[#This Row],[Valores contratados]]-Tabela23[[#This Row],[Valores investidos até o momento]]</f>
        <v>12404</v>
      </c>
      <c r="N122" s="51" t="s">
        <v>9</v>
      </c>
    </row>
    <row r="123" spans="1:14" ht="18.75" outlineLevel="1" x14ac:dyDescent="0.3">
      <c r="A123" s="17" t="s">
        <v>273</v>
      </c>
      <c r="B123" s="3" t="s">
        <v>266</v>
      </c>
      <c r="C123" s="3" t="s">
        <v>30</v>
      </c>
      <c r="D123" s="25" t="s">
        <v>183</v>
      </c>
      <c r="E123" s="30">
        <v>46184</v>
      </c>
      <c r="F123" s="3">
        <v>43</v>
      </c>
      <c r="G123" s="87">
        <v>18606</v>
      </c>
      <c r="H123" s="88">
        <v>46188</v>
      </c>
      <c r="I123" s="3" t="s">
        <v>48</v>
      </c>
      <c r="J123" s="67"/>
      <c r="K123" s="87"/>
      <c r="L123" s="67"/>
      <c r="M123" s="67"/>
      <c r="N123" s="18" t="s">
        <v>267</v>
      </c>
    </row>
    <row r="124" spans="1:14" ht="18.75" outlineLevel="1" x14ac:dyDescent="0.3">
      <c r="A124" s="17" t="s">
        <v>274</v>
      </c>
      <c r="B124" s="3" t="s">
        <v>266</v>
      </c>
      <c r="C124" s="3" t="s">
        <v>30</v>
      </c>
      <c r="D124" s="25" t="s">
        <v>183</v>
      </c>
      <c r="E124" s="30"/>
      <c r="F124" s="3"/>
      <c r="G124" s="87"/>
      <c r="H124" s="88"/>
      <c r="I124" s="3" t="s">
        <v>48</v>
      </c>
      <c r="J124" s="67"/>
      <c r="K124" s="87"/>
      <c r="L124" s="67"/>
      <c r="M124" s="67"/>
      <c r="N124" s="18"/>
    </row>
    <row r="125" spans="1:14" ht="18.75" x14ac:dyDescent="0.3">
      <c r="A125" s="45">
        <v>45</v>
      </c>
      <c r="B125" s="46" t="s">
        <v>280</v>
      </c>
      <c r="C125" s="46" t="s">
        <v>30</v>
      </c>
      <c r="D125" s="47" t="s">
        <v>281</v>
      </c>
      <c r="E125" s="48"/>
      <c r="F125" s="46"/>
      <c r="G125" s="60">
        <f>SUM(G126:G126)</f>
        <v>1500</v>
      </c>
      <c r="H125" s="86"/>
      <c r="I125" s="46"/>
      <c r="J125" s="67">
        <v>1500</v>
      </c>
      <c r="K125" s="60">
        <v>1500</v>
      </c>
      <c r="L125" s="67">
        <f>+Tabela23[[#This Row],[Valor NF]]</f>
        <v>1500</v>
      </c>
      <c r="M125" s="67">
        <f>+Tabela23[[#This Row],[Valores contratados]]-Tabela23[[#This Row],[Valores investidos até o momento]]</f>
        <v>0</v>
      </c>
      <c r="N125" s="51" t="s">
        <v>9</v>
      </c>
    </row>
    <row r="126" spans="1:14" ht="18.75" hidden="1" outlineLevel="1" x14ac:dyDescent="0.3">
      <c r="A126" s="17" t="s">
        <v>279</v>
      </c>
      <c r="B126" s="3" t="s">
        <v>280</v>
      </c>
      <c r="C126" s="3" t="s">
        <v>30</v>
      </c>
      <c r="D126" s="25" t="s">
        <v>281</v>
      </c>
      <c r="E126" s="30">
        <v>46189</v>
      </c>
      <c r="F126" s="3">
        <v>5</v>
      </c>
      <c r="G126" s="87">
        <v>1500</v>
      </c>
      <c r="H126" s="88">
        <v>46162</v>
      </c>
      <c r="I126" s="3" t="s">
        <v>276</v>
      </c>
      <c r="J126" s="67"/>
      <c r="K126" s="87"/>
      <c r="L126" s="67"/>
      <c r="M126" s="67"/>
      <c r="N126" s="18" t="s">
        <v>282</v>
      </c>
    </row>
    <row r="127" spans="1:14" ht="18.75" collapsed="1" x14ac:dyDescent="0.3">
      <c r="A127" s="45">
        <v>46</v>
      </c>
      <c r="B127" s="46" t="s">
        <v>283</v>
      </c>
      <c r="C127" s="46" t="s">
        <v>31</v>
      </c>
      <c r="D127" s="47" t="s">
        <v>285</v>
      </c>
      <c r="E127" s="30"/>
      <c r="F127" s="46"/>
      <c r="G127" s="60">
        <f>SUM(G128:G129)</f>
        <v>5450</v>
      </c>
      <c r="H127" s="86"/>
      <c r="I127" s="46"/>
      <c r="J127" s="4">
        <f>Tabela23[[#This Row],[Valor NF]]</f>
        <v>5450</v>
      </c>
      <c r="K127" s="49">
        <f>Tabela23[[#This Row],[Valor NF]]</f>
        <v>5450</v>
      </c>
      <c r="L127" s="4">
        <f>+Tabela23[[#This Row],[Valor NF]]</f>
        <v>5450</v>
      </c>
      <c r="M127" s="4">
        <f>+Tabela23[[#This Row],[Valores contratados]]-Tabela23[[#This Row],[Valores investidos até o momento]]</f>
        <v>0</v>
      </c>
      <c r="N127" s="51" t="s">
        <v>9</v>
      </c>
    </row>
    <row r="128" spans="1:14" ht="18.75" hidden="1" outlineLevel="1" x14ac:dyDescent="0.3">
      <c r="A128" s="17" t="s">
        <v>284</v>
      </c>
      <c r="B128" s="3" t="s">
        <v>283</v>
      </c>
      <c r="C128" s="3" t="s">
        <v>31</v>
      </c>
      <c r="D128" s="25" t="s">
        <v>285</v>
      </c>
      <c r="E128" s="30">
        <v>46191</v>
      </c>
      <c r="F128" s="3">
        <v>1648</v>
      </c>
      <c r="G128" s="87">
        <v>2750</v>
      </c>
      <c r="H128" s="88">
        <v>46198</v>
      </c>
      <c r="I128" s="3" t="s">
        <v>44</v>
      </c>
      <c r="J128" s="67"/>
      <c r="K128" s="87"/>
      <c r="L128" s="67"/>
      <c r="M128" s="67"/>
      <c r="N128" s="18" t="s">
        <v>286</v>
      </c>
    </row>
    <row r="129" spans="1:14" ht="18.75" hidden="1" outlineLevel="1" x14ac:dyDescent="0.3">
      <c r="A129" s="17" t="s">
        <v>302</v>
      </c>
      <c r="B129" s="3" t="s">
        <v>303</v>
      </c>
      <c r="C129" s="3" t="s">
        <v>31</v>
      </c>
      <c r="D129" s="25" t="s">
        <v>285</v>
      </c>
      <c r="E129" s="30">
        <v>46199</v>
      </c>
      <c r="F129" s="3">
        <v>1703</v>
      </c>
      <c r="G129" s="87">
        <v>2700</v>
      </c>
      <c r="H129" s="88">
        <v>46199</v>
      </c>
      <c r="I129" s="3" t="s">
        <v>44</v>
      </c>
      <c r="J129" s="4"/>
      <c r="K129" s="49"/>
      <c r="L129" s="4"/>
      <c r="M129" s="67"/>
      <c r="N129" s="89" t="s">
        <v>304</v>
      </c>
    </row>
    <row r="130" spans="1:14" ht="18.75" collapsed="1" x14ac:dyDescent="0.3">
      <c r="A130" s="45">
        <v>47</v>
      </c>
      <c r="B130" s="46" t="s">
        <v>288</v>
      </c>
      <c r="C130" s="46" t="s">
        <v>31</v>
      </c>
      <c r="D130" s="47" t="s">
        <v>102</v>
      </c>
      <c r="E130" s="30"/>
      <c r="F130" s="46"/>
      <c r="G130" s="60">
        <f>SUM(G131)</f>
        <v>672</v>
      </c>
      <c r="H130" s="86"/>
      <c r="I130" s="46"/>
      <c r="J130" s="4">
        <f>Tabela23[[#This Row],[Valor NF]]</f>
        <v>672</v>
      </c>
      <c r="K130" s="49">
        <f>Tabela23[[#This Row],[Valor NF]]</f>
        <v>672</v>
      </c>
      <c r="L130" s="4">
        <f>+Tabela23[[#This Row],[Valor NF]]</f>
        <v>672</v>
      </c>
      <c r="M130" s="4">
        <f>+Tabela23[[#This Row],[Valores contratados]]-Tabela23[[#This Row],[Valores investidos até o momento]]</f>
        <v>0</v>
      </c>
      <c r="N130" s="51" t="s">
        <v>16</v>
      </c>
    </row>
    <row r="131" spans="1:14" s="44" customFormat="1" ht="18.75" hidden="1" outlineLevel="1" collapsed="1" x14ac:dyDescent="0.3">
      <c r="A131" s="17" t="s">
        <v>287</v>
      </c>
      <c r="B131" s="3" t="s">
        <v>288</v>
      </c>
      <c r="C131" s="3" t="s">
        <v>31</v>
      </c>
      <c r="D131" s="25" t="s">
        <v>102</v>
      </c>
      <c r="E131" s="30">
        <v>46195</v>
      </c>
      <c r="F131" s="3">
        <v>471</v>
      </c>
      <c r="G131" s="87">
        <v>672</v>
      </c>
      <c r="H131" s="88">
        <v>46202</v>
      </c>
      <c r="I131" s="3" t="s">
        <v>48</v>
      </c>
      <c r="J131" s="67"/>
      <c r="K131" s="87"/>
      <c r="L131" s="67"/>
      <c r="M131" s="67"/>
      <c r="N131" s="18" t="s">
        <v>289</v>
      </c>
    </row>
    <row r="132" spans="1:14" s="44" customFormat="1" ht="18.75" collapsed="1" x14ac:dyDescent="0.3">
      <c r="A132" s="45">
        <v>48</v>
      </c>
      <c r="B132" s="46" t="s">
        <v>246</v>
      </c>
      <c r="C132" s="46" t="s">
        <v>31</v>
      </c>
      <c r="D132" s="47" t="s">
        <v>60</v>
      </c>
      <c r="E132" s="48"/>
      <c r="F132" s="46"/>
      <c r="G132" s="60">
        <f>SUM(G133)</f>
        <v>8400</v>
      </c>
      <c r="H132" s="50"/>
      <c r="I132" s="46"/>
      <c r="J132" s="4">
        <f>Tabela23[[#This Row],[Valor NF]]</f>
        <v>8400</v>
      </c>
      <c r="K132" s="49">
        <f>Tabela23[[#This Row],[Valor NF]]</f>
        <v>8400</v>
      </c>
      <c r="L132" s="4">
        <f>+Tabela23[[#This Row],[Valor NF]]</f>
        <v>8400</v>
      </c>
      <c r="M132" s="4">
        <f>+Tabela23[[#This Row],[Valores contratados]]-Tabela23[[#This Row],[Valores investidos até o momento]]</f>
        <v>0</v>
      </c>
      <c r="N132" s="51" t="s">
        <v>16</v>
      </c>
    </row>
    <row r="133" spans="1:14" s="44" customFormat="1" ht="18.75" hidden="1" outlineLevel="1" x14ac:dyDescent="0.3">
      <c r="A133" s="17" t="s">
        <v>290</v>
      </c>
      <c r="B133" s="3" t="s">
        <v>246</v>
      </c>
      <c r="C133" s="3" t="s">
        <v>31</v>
      </c>
      <c r="D133" s="25" t="s">
        <v>60</v>
      </c>
      <c r="E133" s="30">
        <v>46195</v>
      </c>
      <c r="F133" s="3">
        <v>40</v>
      </c>
      <c r="G133" s="22">
        <v>8400</v>
      </c>
      <c r="H133" s="36">
        <v>46200</v>
      </c>
      <c r="I133" s="3" t="s">
        <v>48</v>
      </c>
      <c r="J133" s="4"/>
      <c r="K133" s="22"/>
      <c r="L133" s="4"/>
      <c r="M133" s="4"/>
      <c r="N133" s="18" t="s">
        <v>248</v>
      </c>
    </row>
    <row r="134" spans="1:14" s="44" customFormat="1" ht="18.75" collapsed="1" x14ac:dyDescent="0.3">
      <c r="A134" s="45">
        <v>49</v>
      </c>
      <c r="B134" s="46" t="s">
        <v>292</v>
      </c>
      <c r="C134" s="46" t="s">
        <v>31</v>
      </c>
      <c r="D134" s="47" t="s">
        <v>293</v>
      </c>
      <c r="E134" s="48"/>
      <c r="F134" s="46"/>
      <c r="G134" s="60">
        <f>SUM(G135)</f>
        <v>560</v>
      </c>
      <c r="H134" s="50"/>
      <c r="I134" s="46"/>
      <c r="J134" s="4">
        <f>Tabela23[[#This Row],[Valor NF]]</f>
        <v>560</v>
      </c>
      <c r="K134" s="49">
        <f>Tabela23[[#This Row],[Valor NF]]</f>
        <v>560</v>
      </c>
      <c r="L134" s="4">
        <f>+Tabela23[[#This Row],[Valor NF]]</f>
        <v>560</v>
      </c>
      <c r="M134" s="4">
        <f>+Tabela23[[#This Row],[Valores contratados]]-Tabela23[[#This Row],[Valores investidos até o momento]]</f>
        <v>0</v>
      </c>
      <c r="N134" s="51" t="s">
        <v>9</v>
      </c>
    </row>
    <row r="135" spans="1:14" ht="18.75" hidden="1" outlineLevel="1" x14ac:dyDescent="0.3">
      <c r="A135" s="17" t="s">
        <v>294</v>
      </c>
      <c r="B135" s="3" t="s">
        <v>292</v>
      </c>
      <c r="C135" s="3" t="s">
        <v>31</v>
      </c>
      <c r="D135" s="25" t="s">
        <v>293</v>
      </c>
      <c r="E135" s="30">
        <v>46197</v>
      </c>
      <c r="F135" s="3">
        <v>120</v>
      </c>
      <c r="G135" s="22">
        <v>560</v>
      </c>
      <c r="H135" s="36">
        <v>46197</v>
      </c>
      <c r="I135" s="3" t="s">
        <v>48</v>
      </c>
      <c r="J135" s="59"/>
      <c r="K135" s="59"/>
      <c r="L135" s="59"/>
      <c r="M135" s="59"/>
      <c r="N135" s="18" t="s">
        <v>9</v>
      </c>
    </row>
    <row r="136" spans="1:14" s="44" customFormat="1" ht="18.75" collapsed="1" x14ac:dyDescent="0.3">
      <c r="A136" s="45">
        <v>50</v>
      </c>
      <c r="B136" s="46" t="s">
        <v>194</v>
      </c>
      <c r="C136" s="46" t="s">
        <v>31</v>
      </c>
      <c r="D136" s="47" t="s">
        <v>159</v>
      </c>
      <c r="E136" s="48"/>
      <c r="F136" s="46"/>
      <c r="G136" s="60">
        <f>SUM(G137)</f>
        <v>1350</v>
      </c>
      <c r="H136" s="50"/>
      <c r="I136" s="46"/>
      <c r="J136" s="4">
        <f>Tabela23[[#This Row],[Valor NF]]</f>
        <v>1350</v>
      </c>
      <c r="K136" s="49">
        <f>Tabela23[[#This Row],[Valor NF]]</f>
        <v>1350</v>
      </c>
      <c r="L136" s="4">
        <f>+Tabela23[[#This Row],[Valor NF]]</f>
        <v>1350</v>
      </c>
      <c r="M136" s="4">
        <f>+Tabela23[[#This Row],[Valores contratados]]-Tabela23[[#This Row],[Valores investidos até o momento]]</f>
        <v>0</v>
      </c>
      <c r="N136" s="51" t="s">
        <v>9</v>
      </c>
    </row>
    <row r="137" spans="1:14" s="44" customFormat="1" ht="18.75" hidden="1" outlineLevel="1" x14ac:dyDescent="0.3">
      <c r="A137" s="17" t="s">
        <v>295</v>
      </c>
      <c r="B137" s="3" t="s">
        <v>194</v>
      </c>
      <c r="C137" s="3" t="s">
        <v>31</v>
      </c>
      <c r="D137" s="25" t="s">
        <v>159</v>
      </c>
      <c r="E137" s="30">
        <v>46198</v>
      </c>
      <c r="F137" s="3">
        <v>74</v>
      </c>
      <c r="G137" s="22">
        <v>1350</v>
      </c>
      <c r="H137" s="36">
        <v>46185</v>
      </c>
      <c r="I137" s="3" t="s">
        <v>48</v>
      </c>
      <c r="J137" s="4"/>
      <c r="K137" s="22"/>
      <c r="L137" s="4"/>
      <c r="M137" s="4"/>
      <c r="N137" s="18" t="s">
        <v>296</v>
      </c>
    </row>
    <row r="138" spans="1:14" s="44" customFormat="1" ht="18.75" collapsed="1" x14ac:dyDescent="0.3">
      <c r="A138" s="45">
        <v>51</v>
      </c>
      <c r="B138" s="46" t="s">
        <v>298</v>
      </c>
      <c r="C138" s="46" t="s">
        <v>31</v>
      </c>
      <c r="D138" s="47" t="s">
        <v>46</v>
      </c>
      <c r="E138" s="48"/>
      <c r="F138" s="46"/>
      <c r="G138" s="60">
        <f>SUM(G139:G140)</f>
        <v>8374.2100000000009</v>
      </c>
      <c r="H138" s="50"/>
      <c r="I138" s="46"/>
      <c r="J138" s="4">
        <f>Tabela23[[#This Row],[Valor NF]]</f>
        <v>8374.2100000000009</v>
      </c>
      <c r="K138" s="49">
        <f>Tabela23[[#This Row],[Valor NF]]</f>
        <v>8374.2100000000009</v>
      </c>
      <c r="L138" s="4">
        <f>+Tabela23[[#This Row],[Valor NF]]</f>
        <v>8374.2100000000009</v>
      </c>
      <c r="M138" s="4">
        <f>+Tabela23[[#This Row],[Valores contratados]]-Tabela23[[#This Row],[Valores investidos até o momento]]</f>
        <v>0</v>
      </c>
      <c r="N138" s="51" t="s">
        <v>9</v>
      </c>
    </row>
    <row r="139" spans="1:14" s="44" customFormat="1" ht="18.75" hidden="1" outlineLevel="1" x14ac:dyDescent="0.3">
      <c r="A139" s="17" t="s">
        <v>297</v>
      </c>
      <c r="B139" s="3" t="s">
        <v>298</v>
      </c>
      <c r="C139" s="3" t="s">
        <v>31</v>
      </c>
      <c r="D139" s="25" t="s">
        <v>46</v>
      </c>
      <c r="E139" s="30">
        <v>46198</v>
      </c>
      <c r="F139" s="3">
        <v>38</v>
      </c>
      <c r="G139" s="22">
        <v>8114.97</v>
      </c>
      <c r="H139" s="36">
        <v>46203</v>
      </c>
      <c r="I139" s="3" t="s">
        <v>48</v>
      </c>
      <c r="J139" s="4"/>
      <c r="K139" s="22"/>
      <c r="L139" s="4"/>
      <c r="M139" s="4"/>
      <c r="N139" s="18" t="s">
        <v>299</v>
      </c>
    </row>
    <row r="140" spans="1:14" s="44" customFormat="1" ht="18.75" hidden="1" outlineLevel="1" x14ac:dyDescent="0.3">
      <c r="A140" s="17" t="s">
        <v>300</v>
      </c>
      <c r="B140" s="3" t="s">
        <v>298</v>
      </c>
      <c r="C140" s="3" t="s">
        <v>31</v>
      </c>
      <c r="D140" s="25" t="s">
        <v>308</v>
      </c>
      <c r="E140" s="30">
        <v>46199</v>
      </c>
      <c r="F140" s="3">
        <v>190</v>
      </c>
      <c r="G140" s="22">
        <v>259.24</v>
      </c>
      <c r="H140" s="36">
        <v>46203</v>
      </c>
      <c r="I140" s="3" t="s">
        <v>48</v>
      </c>
      <c r="J140" s="4"/>
      <c r="K140" s="4"/>
      <c r="L140" s="4"/>
      <c r="M140" s="4"/>
      <c r="N140" s="18" t="s">
        <v>301</v>
      </c>
    </row>
    <row r="141" spans="1:14" s="44" customFormat="1" ht="18.75" collapsed="1" x14ac:dyDescent="0.3">
      <c r="A141" s="38">
        <v>52</v>
      </c>
      <c r="B141" s="39" t="s">
        <v>306</v>
      </c>
      <c r="C141" s="39" t="s">
        <v>30</v>
      </c>
      <c r="D141" s="40" t="s">
        <v>307</v>
      </c>
      <c r="E141" s="41"/>
      <c r="F141" s="39"/>
      <c r="G141" s="27">
        <f>SUM(G142:G151)</f>
        <v>131279.51</v>
      </c>
      <c r="H141" s="42"/>
      <c r="I141" s="39"/>
      <c r="J141" s="2">
        <v>300000</v>
      </c>
      <c r="K141" s="27">
        <v>190778.56</v>
      </c>
      <c r="L141" s="2">
        <f>+Tabela23[[#This Row],[Valor NF]]</f>
        <v>131279.51</v>
      </c>
      <c r="M141" s="2">
        <f>+Tabela23[[#This Row],[Valores contratados]]-Tabela23[[#This Row],[Valores investidos até o momento]]</f>
        <v>59499.049999999988</v>
      </c>
      <c r="N141" s="43" t="s">
        <v>16</v>
      </c>
    </row>
    <row r="142" spans="1:14" s="44" customFormat="1" ht="18.75" outlineLevel="1" x14ac:dyDescent="0.3">
      <c r="A142" s="15" t="s">
        <v>305</v>
      </c>
      <c r="B142" s="1" t="s">
        <v>306</v>
      </c>
      <c r="C142" s="1" t="s">
        <v>30</v>
      </c>
      <c r="D142" s="24" t="s">
        <v>46</v>
      </c>
      <c r="E142" s="29">
        <v>46198</v>
      </c>
      <c r="F142" s="1">
        <v>39</v>
      </c>
      <c r="G142" s="21">
        <v>22465.81</v>
      </c>
      <c r="H142" s="35">
        <v>46203</v>
      </c>
      <c r="I142" s="1" t="s">
        <v>48</v>
      </c>
      <c r="J142" s="2"/>
      <c r="K142" s="21"/>
      <c r="L142" s="2"/>
      <c r="M142" s="2"/>
      <c r="N142" s="16" t="s">
        <v>310</v>
      </c>
    </row>
    <row r="143" spans="1:14" s="44" customFormat="1" ht="18.75" outlineLevel="1" x14ac:dyDescent="0.3">
      <c r="A143" s="15" t="s">
        <v>309</v>
      </c>
      <c r="B143" s="1" t="s">
        <v>306</v>
      </c>
      <c r="C143" s="1" t="s">
        <v>30</v>
      </c>
      <c r="D143" s="24" t="s">
        <v>47</v>
      </c>
      <c r="E143" s="29">
        <v>46198</v>
      </c>
      <c r="F143" s="1">
        <v>191</v>
      </c>
      <c r="G143" s="21">
        <v>3034.19</v>
      </c>
      <c r="H143" s="35">
        <v>46203</v>
      </c>
      <c r="I143" s="1" t="s">
        <v>48</v>
      </c>
      <c r="J143" s="57"/>
      <c r="K143" s="57"/>
      <c r="L143" s="57"/>
      <c r="M143" s="57"/>
      <c r="N143" s="16" t="s">
        <v>311</v>
      </c>
    </row>
    <row r="144" spans="1:14" s="44" customFormat="1" ht="18.75" outlineLevel="1" x14ac:dyDescent="0.3">
      <c r="A144" s="15" t="s">
        <v>315</v>
      </c>
      <c r="B144" s="1" t="s">
        <v>306</v>
      </c>
      <c r="C144" s="1" t="s">
        <v>30</v>
      </c>
      <c r="D144" s="24" t="s">
        <v>46</v>
      </c>
      <c r="E144" s="29">
        <v>46216</v>
      </c>
      <c r="F144" s="1">
        <v>41</v>
      </c>
      <c r="G144" s="21">
        <v>24854.91</v>
      </c>
      <c r="H144" s="35">
        <v>46219</v>
      </c>
      <c r="I144" s="1" t="s">
        <v>48</v>
      </c>
      <c r="J144" s="57"/>
      <c r="K144" s="57"/>
      <c r="L144" s="57"/>
      <c r="M144" s="57"/>
      <c r="N144" s="16" t="s">
        <v>313</v>
      </c>
    </row>
    <row r="145" spans="1:14" s="44" customFormat="1" ht="18.75" outlineLevel="1" x14ac:dyDescent="0.3">
      <c r="A145" s="15" t="s">
        <v>316</v>
      </c>
      <c r="B145" s="1" t="s">
        <v>306</v>
      </c>
      <c r="C145" s="1" t="s">
        <v>30</v>
      </c>
      <c r="D145" s="24" t="s">
        <v>47</v>
      </c>
      <c r="E145" s="29">
        <v>46216</v>
      </c>
      <c r="F145" s="1">
        <v>227</v>
      </c>
      <c r="G145" s="21">
        <v>9645.69</v>
      </c>
      <c r="H145" s="35">
        <v>46219</v>
      </c>
      <c r="I145" s="1" t="s">
        <v>48</v>
      </c>
      <c r="J145" s="57"/>
      <c r="K145" s="57"/>
      <c r="L145" s="57"/>
      <c r="M145" s="57"/>
      <c r="N145" s="16" t="s">
        <v>314</v>
      </c>
    </row>
    <row r="146" spans="1:14" s="44" customFormat="1" ht="18.75" outlineLevel="1" x14ac:dyDescent="0.3">
      <c r="A146" s="15" t="s">
        <v>319</v>
      </c>
      <c r="B146" s="1" t="s">
        <v>306</v>
      </c>
      <c r="C146" s="1" t="s">
        <v>30</v>
      </c>
      <c r="D146" s="24" t="s">
        <v>46</v>
      </c>
      <c r="E146" s="29">
        <v>46231</v>
      </c>
      <c r="F146" s="1">
        <v>43</v>
      </c>
      <c r="G146" s="21">
        <v>35522.81</v>
      </c>
      <c r="H146" s="35">
        <v>46239</v>
      </c>
      <c r="I146" s="1" t="s">
        <v>48</v>
      </c>
      <c r="J146" s="2"/>
      <c r="K146" s="21"/>
      <c r="L146" s="2"/>
      <c r="M146" s="2"/>
      <c r="N146" s="16" t="s">
        <v>317</v>
      </c>
    </row>
    <row r="147" spans="1:14" s="44" customFormat="1" ht="18.75" outlineLevel="1" x14ac:dyDescent="0.3">
      <c r="A147" s="15" t="s">
        <v>320</v>
      </c>
      <c r="B147" s="1" t="s">
        <v>306</v>
      </c>
      <c r="C147" s="1" t="s">
        <v>30</v>
      </c>
      <c r="D147" s="24" t="s">
        <v>47</v>
      </c>
      <c r="E147" s="29">
        <v>46231</v>
      </c>
      <c r="F147" s="1">
        <v>191</v>
      </c>
      <c r="G147" s="21">
        <v>3756.1</v>
      </c>
      <c r="H147" s="35">
        <v>46239</v>
      </c>
      <c r="I147" s="1" t="s">
        <v>48</v>
      </c>
      <c r="J147" s="57"/>
      <c r="K147" s="57"/>
      <c r="L147" s="57"/>
      <c r="M147" s="57"/>
      <c r="N147" s="16" t="s">
        <v>318</v>
      </c>
    </row>
    <row r="148" spans="1:14" s="44" customFormat="1" ht="18.75" outlineLevel="1" x14ac:dyDescent="0.3">
      <c r="A148" s="15" t="s">
        <v>336</v>
      </c>
      <c r="B148" s="1" t="s">
        <v>306</v>
      </c>
      <c r="C148" s="1" t="s">
        <v>30</v>
      </c>
      <c r="D148" s="24" t="s">
        <v>46</v>
      </c>
      <c r="E148" s="29">
        <v>46244</v>
      </c>
      <c r="F148" s="1">
        <v>44</v>
      </c>
      <c r="G148" s="21">
        <v>24507.38</v>
      </c>
      <c r="H148" s="35">
        <v>46250</v>
      </c>
      <c r="I148" s="1" t="s">
        <v>48</v>
      </c>
      <c r="J148" s="2"/>
      <c r="K148" s="21"/>
      <c r="L148" s="2"/>
      <c r="M148" s="2"/>
      <c r="N148" s="16" t="s">
        <v>337</v>
      </c>
    </row>
    <row r="149" spans="1:14" s="44" customFormat="1" ht="18.75" outlineLevel="1" x14ac:dyDescent="0.3">
      <c r="A149" s="15" t="s">
        <v>338</v>
      </c>
      <c r="B149" s="1" t="s">
        <v>306</v>
      </c>
      <c r="C149" s="1" t="s">
        <v>30</v>
      </c>
      <c r="D149" s="24" t="s">
        <v>46</v>
      </c>
      <c r="E149" s="29">
        <v>46244</v>
      </c>
      <c r="F149" s="1">
        <v>239</v>
      </c>
      <c r="G149" s="21">
        <v>7492.62</v>
      </c>
      <c r="H149" s="35">
        <v>46250</v>
      </c>
      <c r="I149" s="1" t="s">
        <v>48</v>
      </c>
      <c r="J149" s="2"/>
      <c r="K149" s="21"/>
      <c r="L149" s="2"/>
      <c r="M149" s="2"/>
      <c r="N149" s="16" t="s">
        <v>339</v>
      </c>
    </row>
    <row r="150" spans="1:14" s="44" customFormat="1" ht="18.75" outlineLevel="1" x14ac:dyDescent="0.3">
      <c r="A150" s="15"/>
      <c r="B150" s="1"/>
      <c r="C150" s="1"/>
      <c r="D150" s="24"/>
      <c r="E150" s="29"/>
      <c r="F150" s="1"/>
      <c r="G150" s="21"/>
      <c r="H150" s="35"/>
      <c r="I150" s="1"/>
      <c r="J150" s="2"/>
      <c r="K150" s="21"/>
      <c r="L150" s="2"/>
      <c r="M150" s="2"/>
      <c r="N150" s="16"/>
    </row>
    <row r="151" spans="1:14" s="44" customFormat="1" ht="18.75" outlineLevel="1" x14ac:dyDescent="0.3">
      <c r="A151" s="15"/>
      <c r="B151" s="1"/>
      <c r="C151" s="1"/>
      <c r="D151" s="24"/>
      <c r="E151" s="29"/>
      <c r="F151" s="1"/>
      <c r="G151" s="21"/>
      <c r="H151" s="35"/>
      <c r="I151" s="1"/>
      <c r="J151" s="57"/>
      <c r="K151" s="57"/>
      <c r="L151" s="57"/>
      <c r="M151" s="57"/>
      <c r="N151" s="16"/>
    </row>
    <row r="152" spans="1:14" s="44" customFormat="1" ht="18.75" x14ac:dyDescent="0.3">
      <c r="A152" s="45">
        <v>53</v>
      </c>
      <c r="B152" s="46" t="s">
        <v>194</v>
      </c>
      <c r="C152" s="46" t="s">
        <v>31</v>
      </c>
      <c r="D152" s="47" t="s">
        <v>159</v>
      </c>
      <c r="E152" s="48"/>
      <c r="F152" s="46"/>
      <c r="G152" s="60">
        <f>SUM(G153)</f>
        <v>1130</v>
      </c>
      <c r="H152" s="50"/>
      <c r="I152" s="46"/>
      <c r="J152" s="4">
        <f>Tabela23[[#This Row],[Valor NF]]</f>
        <v>1130</v>
      </c>
      <c r="K152" s="49">
        <f>Tabela23[[#This Row],[Valor NF]]</f>
        <v>1130</v>
      </c>
      <c r="L152" s="4">
        <f>+Tabela23[[#This Row],[Valor NF]]</f>
        <v>1130</v>
      </c>
      <c r="M152" s="4">
        <f>+Tabela23[[#This Row],[Valores contratados]]-Tabela23[[#This Row],[Valores investidos até o momento]]</f>
        <v>0</v>
      </c>
      <c r="N152" s="51" t="s">
        <v>9</v>
      </c>
    </row>
    <row r="153" spans="1:14" s="44" customFormat="1" ht="18.75" hidden="1" outlineLevel="1" x14ac:dyDescent="0.3">
      <c r="A153" s="17" t="s">
        <v>328</v>
      </c>
      <c r="B153" s="3" t="s">
        <v>194</v>
      </c>
      <c r="C153" s="3" t="s">
        <v>31</v>
      </c>
      <c r="D153" s="25" t="s">
        <v>159</v>
      </c>
      <c r="E153" s="30">
        <v>46206</v>
      </c>
      <c r="F153" s="3">
        <v>75</v>
      </c>
      <c r="G153" s="22">
        <v>1130</v>
      </c>
      <c r="H153" s="36">
        <v>46213</v>
      </c>
      <c r="I153" s="3" t="s">
        <v>48</v>
      </c>
      <c r="J153" s="4"/>
      <c r="K153" s="22"/>
      <c r="L153" s="4"/>
      <c r="M153" s="4"/>
      <c r="N153" s="18" t="s">
        <v>330</v>
      </c>
    </row>
    <row r="154" spans="1:14" s="44" customFormat="1" ht="18.75" collapsed="1" x14ac:dyDescent="0.3">
      <c r="A154" s="45">
        <v>54</v>
      </c>
      <c r="B154" s="46" t="s">
        <v>321</v>
      </c>
      <c r="C154" s="46" t="s">
        <v>30</v>
      </c>
      <c r="D154" s="47" t="s">
        <v>197</v>
      </c>
      <c r="E154" s="48"/>
      <c r="F154" s="46"/>
      <c r="G154" s="60">
        <f>SUM(G155:G156)</f>
        <v>27000</v>
      </c>
      <c r="H154" s="50"/>
      <c r="I154" s="46"/>
      <c r="J154" s="4">
        <f>Tabela23[[#This Row],[Valor NF]]</f>
        <v>27000</v>
      </c>
      <c r="K154" s="49">
        <f>Tabela23[[#This Row],[Valor NF]]</f>
        <v>27000</v>
      </c>
      <c r="L154" s="4">
        <f>+Tabela23[[#This Row],[Valor NF]]</f>
        <v>27000</v>
      </c>
      <c r="M154" s="4">
        <f>+Tabela23[[#This Row],[Valores contratados]]-Tabela23[[#This Row],[Valores investidos até o momento]]</f>
        <v>0</v>
      </c>
      <c r="N154" s="51" t="s">
        <v>16</v>
      </c>
    </row>
    <row r="155" spans="1:14" s="44" customFormat="1" ht="18.75" hidden="1" outlineLevel="1" x14ac:dyDescent="0.3">
      <c r="A155" s="17" t="s">
        <v>326</v>
      </c>
      <c r="B155" s="3" t="s">
        <v>324</v>
      </c>
      <c r="C155" s="3" t="s">
        <v>30</v>
      </c>
      <c r="D155" s="25" t="s">
        <v>197</v>
      </c>
      <c r="E155" s="30">
        <v>46224</v>
      </c>
      <c r="F155" s="3">
        <v>30</v>
      </c>
      <c r="G155" s="22">
        <v>15000</v>
      </c>
      <c r="H155" s="36">
        <v>46244</v>
      </c>
      <c r="I155" s="3" t="s">
        <v>276</v>
      </c>
      <c r="J155" s="4"/>
      <c r="K155" s="22"/>
      <c r="L155" s="4"/>
      <c r="M155" s="4"/>
      <c r="N155" s="18" t="s">
        <v>323</v>
      </c>
    </row>
    <row r="156" spans="1:14" s="44" customFormat="1" ht="18.75" hidden="1" outlineLevel="1" x14ac:dyDescent="0.3">
      <c r="A156" s="17">
        <v>54.2</v>
      </c>
      <c r="B156" s="3" t="s">
        <v>325</v>
      </c>
      <c r="C156" s="3" t="s">
        <v>30</v>
      </c>
      <c r="D156" s="25" t="s">
        <v>197</v>
      </c>
      <c r="E156" s="30">
        <v>46225</v>
      </c>
      <c r="F156" s="3">
        <v>31</v>
      </c>
      <c r="G156" s="22">
        <v>12000</v>
      </c>
      <c r="H156" s="36">
        <v>46245</v>
      </c>
      <c r="I156" s="3" t="s">
        <v>276</v>
      </c>
      <c r="J156" s="59"/>
      <c r="K156" s="59"/>
      <c r="L156" s="59"/>
      <c r="M156" s="59"/>
      <c r="N156" s="18" t="s">
        <v>322</v>
      </c>
    </row>
    <row r="157" spans="1:14" s="44" customFormat="1" ht="18.75" collapsed="1" x14ac:dyDescent="0.3">
      <c r="A157" s="45">
        <v>55</v>
      </c>
      <c r="B157" s="46" t="s">
        <v>194</v>
      </c>
      <c r="C157" s="46" t="s">
        <v>31</v>
      </c>
      <c r="D157" s="47" t="s">
        <v>159</v>
      </c>
      <c r="E157" s="30"/>
      <c r="F157" s="3"/>
      <c r="G157" s="49">
        <f>SUM(G158)</f>
        <v>1920</v>
      </c>
      <c r="H157" s="36"/>
      <c r="I157" s="3"/>
      <c r="J157" s="49">
        <f>Tabela23[[#This Row],[Valor NF]]</f>
        <v>1920</v>
      </c>
      <c r="K157" s="49">
        <f>Tabela23[[#This Row],[Valor NF]]</f>
        <v>1920</v>
      </c>
      <c r="L157" s="49">
        <f>Tabela23[[#This Row],[Valor NF]]</f>
        <v>1920</v>
      </c>
      <c r="M157" s="4">
        <f>+Tabela23[[#This Row],[Valores contratados]]-Tabela23[[#This Row],[Valores investidos até o momento]]</f>
        <v>0</v>
      </c>
      <c r="N157" s="51" t="s">
        <v>9</v>
      </c>
    </row>
    <row r="158" spans="1:14" s="44" customFormat="1" ht="18.75" outlineLevel="1" x14ac:dyDescent="0.3">
      <c r="A158" s="17" t="s">
        <v>329</v>
      </c>
      <c r="B158" s="3" t="s">
        <v>194</v>
      </c>
      <c r="C158" s="3" t="s">
        <v>31</v>
      </c>
      <c r="D158" s="25" t="s">
        <v>159</v>
      </c>
      <c r="E158" s="30">
        <v>46183</v>
      </c>
      <c r="F158" s="3">
        <v>73</v>
      </c>
      <c r="G158" s="22">
        <v>1920</v>
      </c>
      <c r="H158" s="36">
        <v>46188</v>
      </c>
      <c r="I158" s="3" t="s">
        <v>48</v>
      </c>
      <c r="J158" s="4"/>
      <c r="K158" s="59"/>
      <c r="L158" s="59"/>
      <c r="M158" s="59"/>
      <c r="N158" s="18" t="s">
        <v>332</v>
      </c>
    </row>
    <row r="159" spans="1:14" s="44" customFormat="1" ht="18.75" x14ac:dyDescent="0.3">
      <c r="A159" s="45">
        <v>56</v>
      </c>
      <c r="B159" s="46" t="s">
        <v>194</v>
      </c>
      <c r="C159" s="46" t="s">
        <v>31</v>
      </c>
      <c r="D159" s="47" t="s">
        <v>159</v>
      </c>
      <c r="E159" s="30"/>
      <c r="F159" s="3"/>
      <c r="G159" s="49">
        <f>SUM(G160)</f>
        <v>550</v>
      </c>
      <c r="H159" s="36"/>
      <c r="I159" s="3"/>
      <c r="J159" s="49">
        <f>Tabela23[[#This Row],[Valor NF]]</f>
        <v>550</v>
      </c>
      <c r="K159" s="49">
        <f>Tabela23[[#This Row],[Valor NF]]</f>
        <v>550</v>
      </c>
      <c r="L159" s="49">
        <f>Tabela23[[#This Row],[Valor NF]]</f>
        <v>550</v>
      </c>
      <c r="M159" s="4">
        <f>+Tabela23[[#This Row],[Valores contratados]]-Tabela23[[#This Row],[Valores investidos até o momento]]</f>
        <v>0</v>
      </c>
      <c r="N159" s="51" t="s">
        <v>9</v>
      </c>
    </row>
    <row r="160" spans="1:14" s="44" customFormat="1" ht="18.75" outlineLevel="1" x14ac:dyDescent="0.3">
      <c r="A160" s="17" t="s">
        <v>331</v>
      </c>
      <c r="B160" s="3" t="s">
        <v>194</v>
      </c>
      <c r="C160" s="3" t="s">
        <v>31</v>
      </c>
      <c r="D160" s="25" t="s">
        <v>159</v>
      </c>
      <c r="E160" s="30">
        <v>46241</v>
      </c>
      <c r="F160" s="3">
        <v>77</v>
      </c>
      <c r="G160" s="22">
        <v>550</v>
      </c>
      <c r="H160" s="36">
        <v>46245</v>
      </c>
      <c r="I160" s="3" t="s">
        <v>48</v>
      </c>
      <c r="J160" s="4"/>
      <c r="K160" s="59"/>
      <c r="L160" s="59"/>
      <c r="M160" s="59"/>
      <c r="N160" s="18" t="s">
        <v>327</v>
      </c>
    </row>
    <row r="161" spans="1:14" s="44" customFormat="1" ht="18.75" x14ac:dyDescent="0.3">
      <c r="A161" s="45">
        <v>57</v>
      </c>
      <c r="B161" s="46" t="s">
        <v>334</v>
      </c>
      <c r="C161" s="46" t="s">
        <v>31</v>
      </c>
      <c r="D161" s="47" t="s">
        <v>60</v>
      </c>
      <c r="E161" s="30"/>
      <c r="F161" s="3"/>
      <c r="G161" s="49">
        <f>SUM(G162)</f>
        <v>1830</v>
      </c>
      <c r="H161" s="36"/>
      <c r="I161" s="3"/>
      <c r="J161" s="49">
        <f>Tabela23[[#This Row],[Valor NF]]</f>
        <v>1830</v>
      </c>
      <c r="K161" s="49">
        <f>Tabela23[[#This Row],[Valor NF]]</f>
        <v>1830</v>
      </c>
      <c r="L161" s="49">
        <f>Tabela23[[#This Row],[Valor NF]]</f>
        <v>1830</v>
      </c>
      <c r="M161" s="4">
        <f>+Tabela23[[#This Row],[Valores contratados]]-Tabela23[[#This Row],[Valores investidos até o momento]]</f>
        <v>0</v>
      </c>
      <c r="N161" s="51" t="s">
        <v>9</v>
      </c>
    </row>
    <row r="162" spans="1:14" s="44" customFormat="1" ht="18.75" x14ac:dyDescent="0.3">
      <c r="A162" s="17" t="s">
        <v>333</v>
      </c>
      <c r="B162" s="3" t="s">
        <v>334</v>
      </c>
      <c r="C162" s="3" t="s">
        <v>31</v>
      </c>
      <c r="D162" s="25" t="s">
        <v>60</v>
      </c>
      <c r="E162" s="30">
        <v>46244</v>
      </c>
      <c r="F162" s="3">
        <v>48</v>
      </c>
      <c r="G162" s="22">
        <v>1830</v>
      </c>
      <c r="H162" s="36">
        <v>46249</v>
      </c>
      <c r="I162" s="3" t="s">
        <v>48</v>
      </c>
      <c r="J162" s="49"/>
      <c r="K162" s="59"/>
      <c r="L162" s="59"/>
      <c r="M162" s="59"/>
      <c r="N162" s="18" t="s">
        <v>335</v>
      </c>
    </row>
    <row r="163" spans="1:14" s="44" customFormat="1" ht="18.75" x14ac:dyDescent="0.3">
      <c r="A163" s="45">
        <v>58</v>
      </c>
      <c r="B163" s="46" t="s">
        <v>238</v>
      </c>
      <c r="C163" s="46" t="s">
        <v>31</v>
      </c>
      <c r="D163" s="47" t="s">
        <v>60</v>
      </c>
      <c r="E163" s="30"/>
      <c r="F163" s="3"/>
      <c r="G163" s="60">
        <v>3510</v>
      </c>
      <c r="H163" s="88"/>
      <c r="I163" s="3"/>
      <c r="J163" s="49">
        <f>Tabela23[[#This Row],[Valor NF]]</f>
        <v>3510</v>
      </c>
      <c r="K163" s="60">
        <v>3510</v>
      </c>
      <c r="L163" s="60">
        <v>3510</v>
      </c>
      <c r="M163" s="67">
        <v>0</v>
      </c>
      <c r="N163" s="51" t="s">
        <v>16</v>
      </c>
    </row>
    <row r="164" spans="1:14" s="44" customFormat="1" ht="18.75" x14ac:dyDescent="0.3">
      <c r="A164" s="17" t="s">
        <v>340</v>
      </c>
      <c r="B164" s="3" t="s">
        <v>238</v>
      </c>
      <c r="C164" s="3" t="s">
        <v>31</v>
      </c>
      <c r="D164" s="25" t="s">
        <v>60</v>
      </c>
      <c r="E164" s="30">
        <v>46246</v>
      </c>
      <c r="F164" s="3">
        <v>49</v>
      </c>
      <c r="G164" s="87">
        <f>SUM(G163)</f>
        <v>3510</v>
      </c>
      <c r="H164" s="88">
        <v>46251</v>
      </c>
      <c r="I164" s="3" t="s">
        <v>48</v>
      </c>
      <c r="J164" s="49"/>
      <c r="K164" s="87"/>
      <c r="L164" s="68"/>
      <c r="M164" s="68"/>
      <c r="N164" s="18" t="s">
        <v>341</v>
      </c>
    </row>
    <row r="165" spans="1:14" s="44" customFormat="1" ht="18.75" x14ac:dyDescent="0.3">
      <c r="A165" s="45">
        <v>59</v>
      </c>
      <c r="B165" s="46" t="s">
        <v>343</v>
      </c>
      <c r="C165" s="46" t="s">
        <v>31</v>
      </c>
      <c r="D165" s="47" t="s">
        <v>344</v>
      </c>
      <c r="E165" s="48">
        <v>46248</v>
      </c>
      <c r="F165" s="46">
        <v>7</v>
      </c>
      <c r="G165" s="60">
        <v>269.89999999999998</v>
      </c>
      <c r="H165" s="86">
        <v>46248</v>
      </c>
      <c r="I165" s="46" t="s">
        <v>48</v>
      </c>
      <c r="J165" s="49">
        <f>Tabela23[[#This Row],[Valor NF]]</f>
        <v>269.89999999999998</v>
      </c>
      <c r="K165" s="49">
        <f>Tabela23[[#This Row],[Valor NF]]</f>
        <v>269.89999999999998</v>
      </c>
      <c r="L165" s="49">
        <f>Tabela23[[#This Row],[Valor NF]]</f>
        <v>269.89999999999998</v>
      </c>
      <c r="M165" s="67">
        <v>0</v>
      </c>
      <c r="N165" s="51" t="s">
        <v>16</v>
      </c>
    </row>
    <row r="166" spans="1:14" s="44" customFormat="1" ht="18.75" x14ac:dyDescent="0.3">
      <c r="A166" s="17" t="s">
        <v>345</v>
      </c>
      <c r="B166" s="3" t="s">
        <v>343</v>
      </c>
      <c r="C166" s="3" t="s">
        <v>31</v>
      </c>
      <c r="D166" s="25" t="s">
        <v>344</v>
      </c>
      <c r="E166" s="30"/>
      <c r="F166" s="3"/>
      <c r="G166" s="87"/>
      <c r="H166" s="88"/>
      <c r="I166" s="3" t="s">
        <v>48</v>
      </c>
      <c r="J166" s="22"/>
      <c r="K166" s="22"/>
      <c r="L166" s="22"/>
      <c r="M166" s="68"/>
      <c r="N166" s="18" t="s">
        <v>16</v>
      </c>
    </row>
    <row r="167" spans="1:14" s="44" customFormat="1" ht="18.75" x14ac:dyDescent="0.3">
      <c r="A167" s="17"/>
      <c r="B167" s="3"/>
      <c r="C167" s="3"/>
      <c r="D167" s="25"/>
      <c r="E167" s="30"/>
      <c r="F167" s="3"/>
      <c r="G167" s="87"/>
      <c r="H167" s="88"/>
      <c r="I167" s="3"/>
      <c r="J167" s="68"/>
      <c r="K167" s="87"/>
      <c r="L167" s="68"/>
      <c r="M167" s="68"/>
      <c r="N167" s="51"/>
    </row>
    <row r="168" spans="1:14" s="44" customFormat="1" ht="18.75" x14ac:dyDescent="0.3">
      <c r="A168" s="17"/>
      <c r="B168" s="3"/>
      <c r="C168" s="3"/>
      <c r="D168" s="25"/>
      <c r="E168" s="30"/>
      <c r="F168" s="3"/>
      <c r="G168" s="87"/>
      <c r="H168" s="88"/>
      <c r="I168" s="3"/>
      <c r="J168" s="68"/>
      <c r="K168" s="87"/>
      <c r="L168" s="68"/>
      <c r="M168" s="68"/>
      <c r="N168" s="51"/>
    </row>
    <row r="169" spans="1:14" s="44" customFormat="1" ht="18.75" x14ac:dyDescent="0.3">
      <c r="A169" s="17"/>
      <c r="B169" s="3"/>
      <c r="C169" s="3"/>
      <c r="D169" s="25"/>
      <c r="E169" s="30"/>
      <c r="F169" s="3"/>
      <c r="G169" s="87"/>
      <c r="H169" s="88"/>
      <c r="I169" s="3"/>
      <c r="J169" s="68"/>
      <c r="K169" s="87"/>
      <c r="L169" s="68"/>
      <c r="M169" s="68"/>
      <c r="N169" s="51"/>
    </row>
    <row r="170" spans="1:14" s="44" customFormat="1" ht="18.75" x14ac:dyDescent="0.3">
      <c r="A170" s="17"/>
      <c r="B170" s="3"/>
      <c r="C170" s="3"/>
      <c r="D170" s="25"/>
      <c r="E170" s="30"/>
      <c r="F170" s="3"/>
      <c r="G170" s="87"/>
      <c r="H170" s="88"/>
      <c r="I170" s="3"/>
      <c r="J170" s="68"/>
      <c r="K170" s="87"/>
      <c r="L170" s="68"/>
      <c r="M170" s="68"/>
      <c r="N170" s="51"/>
    </row>
    <row r="171" spans="1:14" ht="18.75" x14ac:dyDescent="0.3">
      <c r="A171" s="17"/>
      <c r="B171" s="3"/>
      <c r="C171" s="3"/>
      <c r="D171" s="25"/>
      <c r="E171" s="30"/>
      <c r="F171" s="3"/>
      <c r="G171" s="22"/>
      <c r="H171" s="36"/>
      <c r="I171" s="3"/>
      <c r="J171" s="59"/>
      <c r="K171" s="22"/>
      <c r="L171" s="59"/>
      <c r="M171" s="59"/>
      <c r="N171" s="51"/>
    </row>
    <row r="172" spans="1:14" ht="18.75" x14ac:dyDescent="0.3">
      <c r="A172" s="19" t="s">
        <v>26</v>
      </c>
      <c r="B172" s="19"/>
      <c r="C172" s="19"/>
      <c r="D172" s="26"/>
      <c r="E172" s="31"/>
      <c r="F172" s="19"/>
      <c r="G172" s="23"/>
      <c r="H172" s="37"/>
      <c r="I172" s="19"/>
      <c r="J172" s="20">
        <f>SUBTOTAL(9,J3:J171)</f>
        <v>1526426.88</v>
      </c>
      <c r="K172" s="20">
        <f>SUBTOTAL(9,K3:K171)</f>
        <v>1359301.5699999998</v>
      </c>
      <c r="L172" s="20">
        <f>SUBTOTAL(9,L3:L171)</f>
        <v>969734.26000000013</v>
      </c>
      <c r="M172" s="20">
        <f>SUBTOTAL(9,M3:M171)</f>
        <v>440476.17999999993</v>
      </c>
      <c r="N172" s="18"/>
    </row>
    <row r="173" spans="1:14" ht="18.75" x14ac:dyDescent="0.3">
      <c r="A173" s="7"/>
      <c r="B173" s="8"/>
      <c r="C173" s="8"/>
      <c r="D173" s="11"/>
      <c r="E173" s="32"/>
      <c r="F173" s="8"/>
      <c r="G173" s="8"/>
      <c r="H173" s="32"/>
      <c r="I173" s="8"/>
      <c r="J173" s="9"/>
      <c r="K173" s="8"/>
      <c r="L173" s="9"/>
      <c r="M173" s="9"/>
      <c r="N173" s="10"/>
    </row>
    <row r="174" spans="1:14" ht="18.75" x14ac:dyDescent="0.3">
      <c r="A174" s="11"/>
      <c r="B174" s="11"/>
      <c r="C174" s="11"/>
      <c r="D174" s="11"/>
      <c r="E174" s="33"/>
      <c r="F174" s="11"/>
      <c r="G174" s="11"/>
      <c r="H174" s="33"/>
      <c r="I174" s="11"/>
      <c r="J174" s="12"/>
      <c r="K174" s="11"/>
      <c r="L174" s="11" t="s">
        <v>27</v>
      </c>
      <c r="M174" s="11"/>
      <c r="N174" s="10"/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Astecnica</dc:creator>
  <cp:lastModifiedBy>Astecnica-01</cp:lastModifiedBy>
  <dcterms:created xsi:type="dcterms:W3CDTF">2015-06-05T18:19:34Z</dcterms:created>
  <dcterms:modified xsi:type="dcterms:W3CDTF">2026-08-14T15:45:58Z</dcterms:modified>
</cp:coreProperties>
</file>